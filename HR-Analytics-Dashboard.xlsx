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Dat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<sst xmlns="http://schemas.openxmlformats.org/spreadsheetml/2006/main" count="315" uniqueCount="174">
  <si>
    <t xml:space="preserve">HR Analytics Dashboard</t>
  </si>
  <si>
    <t xml:space="preserve">Sample data only. Attrition rate = exits / (active + exits).</t>
  </si>
  <si>
    <t xml:space="preserve">Active headcount</t>
  </si>
  <si>
    <t xml:space="preserve">Exits</t>
  </si>
  <si>
    <t xml:space="preserve">Attrition rate</t>
  </si>
  <si>
    <t xml:space="preserve">Department</t>
  </si>
  <si>
    <t xml:space="preserve">Active</t>
  </si>
  <si>
    <t xml:space="preserve">Exited</t>
  </si>
  <si>
    <t xml:space="preserve">Attrition %</t>
  </si>
  <si>
    <t xml:space="preserve">Sales</t>
  </si>
  <si>
    <t xml:space="preserve">Engineering</t>
  </si>
  <si>
    <t xml:space="preserve">HR</t>
  </si>
  <si>
    <t xml:space="preserve">Finance</t>
  </si>
  <si>
    <t xml:space="preserve">Operations</t>
  </si>
  <si>
    <t xml:space="preserve">Month (2025)</t>
  </si>
  <si>
    <t xml:space="preserve">Joiners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</si>
  <si>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</si>
  <si>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</si>
  <si>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</si>
  <si>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</si>
  <si>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</si>
  <si>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</si>
  <si>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</si>
  <si>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</si>
  <si>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</si>
  <si>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</si>
  <si>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</si>
  <si>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</si>
  <si>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Employee ID</t>
  </si>
  <si>
    <t xml:space="preserve">Join Date</t>
  </si>
  <si>
    <t xml:space="preserve">Exit Date</t>
  </si>
  <si>
    <t xml:space="preserve">Status (auto)</t>
  </si>
  <si>
    <t xml:space="preserve">Join Month (auto)</t>
  </si>
  <si>
    <t xml:space="preserve">Sample data only: randomly generated, not real employees. Blue = edit. Add rows and extend the ranges on the Dashboard.</t>
  </si>
  <si>
    <t xml:space="preserve">E-001</t>
  </si>
  <si>
    <t xml:space="preserve">E-002</t>
  </si>
  <si>
    <t xml:space="preserve">E-003</t>
  </si>
  <si>
    <t xml:space="preserve">E-004</t>
  </si>
  <si>
    <t xml:space="preserve">E-005</t>
  </si>
  <si>
    <t xml:space="preserve">E-006</t>
  </si>
  <si>
    <t xml:space="preserve">E-007</t>
  </si>
  <si>
    <t xml:space="preserve">E-008</t>
  </si>
  <si>
    <t xml:space="preserve">E-009</t>
  </si>
  <si>
    <t xml:space="preserve">E-010</t>
  </si>
  <si>
    <t xml:space="preserve">E-011</t>
  </si>
  <si>
    <t xml:space="preserve">E-012</t>
  </si>
  <si>
    <t xml:space="preserve">E-013</t>
  </si>
  <si>
    <t xml:space="preserve">E-014</t>
  </si>
  <si>
    <t xml:space="preserve">E-015</t>
  </si>
  <si>
    <t xml:space="preserve">E-016</t>
  </si>
  <si>
    <t xml:space="preserve">E-017</t>
  </si>
  <si>
    <t xml:space="preserve">E-018</t>
  </si>
  <si>
    <t xml:space="preserve">E-019</t>
  </si>
  <si>
    <t xml:space="preserve">E-020</t>
  </si>
  <si>
    <t xml:space="preserve">E-021</t>
  </si>
  <si>
    <t xml:space="preserve">E-022</t>
  </si>
  <si>
    <t xml:space="preserve">E-023</t>
  </si>
  <si>
    <t xml:space="preserve">E-024</t>
  </si>
  <si>
    <t xml:space="preserve">E-025</t>
  </si>
  <si>
    <t xml:space="preserve">E-026</t>
  </si>
  <si>
    <t xml:space="preserve">E-027</t>
  </si>
  <si>
    <t xml:space="preserve">E-028</t>
  </si>
  <si>
    <t xml:space="preserve">E-029</t>
  </si>
  <si>
    <t xml:space="preserve">E-030</t>
  </si>
  <si>
    <t xml:space="preserve">E-031</t>
  </si>
  <si>
    <t xml:space="preserve">E-032</t>
  </si>
  <si>
    <t xml:space="preserve">E-033</t>
  </si>
  <si>
    <t xml:space="preserve">E-034</t>
  </si>
  <si>
    <t xml:space="preserve">E-035</t>
  </si>
  <si>
    <t xml:space="preserve">E-036</t>
  </si>
  <si>
    <t xml:space="preserve">E-037</t>
  </si>
  <si>
    <t xml:space="preserve">E-038</t>
  </si>
  <si>
    <t xml:space="preserve">E-039</t>
  </si>
  <si>
    <t xml:space="preserve">E-040</t>
  </si>
  <si>
    <t xml:space="preserve">E-041</t>
  </si>
  <si>
    <t xml:space="preserve">E-042</t>
  </si>
  <si>
    <t xml:space="preserve">E-043</t>
  </si>
  <si>
    <t xml:space="preserve">E-044</t>
  </si>
  <si>
    <t xml:space="preserve">E-045</t>
  </si>
  <si>
    <t xml:space="preserve">E-046</t>
  </si>
  <si>
    <t xml:space="preserve">E-047</t>
  </si>
  <si>
    <t xml:space="preserve">E-048</t>
  </si>
  <si>
    <t xml:space="preserve">E-049</t>
  </si>
  <si>
    <t xml:space="preserve">E-050</t>
  </si>
  <si>
    <t xml:space="preserve">E-051</t>
  </si>
  <si>
    <t xml:space="preserve">E-052</t>
  </si>
  <si>
    <t xml:space="preserve">E-053</t>
  </si>
  <si>
    <t xml:space="preserve">E-054</t>
  </si>
  <si>
    <t xml:space="preserve">E-055</t>
  </si>
  <si>
    <t xml:space="preserve">E-056</t>
  </si>
  <si>
    <t xml:space="preserve">E-057</t>
  </si>
  <si>
    <t xml:space="preserve">E-058</t>
  </si>
  <si>
    <t xml:space="preserve">E-059</t>
  </si>
  <si>
    <t xml:space="preserve">E-060</t>
  </si>
  <si>
    <t xml:space="preserve">E-061</t>
  </si>
  <si>
    <t xml:space="preserve">E-062</t>
  </si>
  <si>
    <t xml:space="preserve">E-063</t>
  </si>
  <si>
    <t xml:space="preserve">E-064</t>
  </si>
  <si>
    <t xml:space="preserve">E-065</t>
  </si>
  <si>
    <t xml:space="preserve">E-066</t>
  </si>
  <si>
    <t xml:space="preserve">E-067</t>
  </si>
  <si>
    <t xml:space="preserve">E-068</t>
  </si>
  <si>
    <t xml:space="preserve">E-069</t>
  </si>
  <si>
    <t xml:space="preserve">E-070</t>
  </si>
  <si>
    <t xml:space="preserve">E-071</t>
  </si>
  <si>
    <t xml:space="preserve">E-072</t>
  </si>
  <si>
    <t xml:space="preserve">E-073</t>
  </si>
  <si>
    <t xml:space="preserve">E-074</t>
  </si>
  <si>
    <t xml:space="preserve">E-075</t>
  </si>
  <si>
    <t xml:space="preserve">E-076</t>
  </si>
  <si>
    <t xml:space="preserve">E-077</t>
  </si>
  <si>
    <t xml:space="preserve">E-078</t>
  </si>
  <si>
    <t xml:space="preserve">E-079</t>
  </si>
  <si>
    <t xml:space="preserve">E-080</t>
  </si>
  <si>
    <t xml:space="preserve">E-081</t>
  </si>
  <si>
    <t xml:space="preserve">E-082</t>
  </si>
  <si>
    <t xml:space="preserve">E-083</t>
  </si>
  <si>
    <t xml:space="preserve">E-084</t>
  </si>
  <si>
    <t xml:space="preserve">E-085</t>
  </si>
  <si>
    <t xml:space="preserve">E-086</t>
  </si>
  <si>
    <t xml:space="preserve">E-087</t>
  </si>
  <si>
    <t xml:space="preserve">E-088</t>
  </si>
  <si>
    <t xml:space="preserve">E-089</t>
  </si>
  <si>
    <t xml:space="preserve">E-090</t>
  </si>
  <si>
    <t xml:space="preserve">E-091</t>
  </si>
  <si>
    <t xml:space="preserve">E-092</t>
  </si>
  <si>
    <t xml:space="preserve">E-093</t>
  </si>
  <si>
    <t xml:space="preserve">E-094</t>
  </si>
  <si>
    <t xml:space="preserve">E-095</t>
  </si>
  <si>
    <t xml:space="preserve">E-096</t>
  </si>
  <si>
    <t xml:space="preserve">E-097</t>
  </si>
  <si>
    <t xml:space="preserve">E-098</t>
  </si>
  <si>
    <t xml:space="preserve">E-099</t>
  </si>
  <si>
    <t xml:space="preserve">E-100</t>
  </si>
  <si>
    <t xml:space="preserve">E-101</t>
  </si>
  <si>
    <t xml:space="preserve">E-102</t>
  </si>
  <si>
    <t xml:space="preserve">E-103</t>
  </si>
  <si>
    <t xml:space="preserve">E-104</t>
  </si>
  <si>
    <t xml:space="preserve">E-105</t>
  </si>
  <si>
    <t xml:space="preserve">E-106</t>
  </si>
  <si>
    <t xml:space="preserve">E-107</t>
  </si>
  <si>
    <t xml:space="preserve">E-108</t>
  </si>
  <si>
    <t xml:space="preserve">E-109</t>
  </si>
  <si>
    <t xml:space="preserve">E-110</t>
  </si>
  <si>
    <t xml:space="preserve">E-111</t>
  </si>
  <si>
    <t xml:space="preserve">E-112</t>
  </si>
  <si>
    <t xml:space="preserve">E-113</t>
  </si>
  <si>
    <t xml:space="preserve">E-114</t>
  </si>
  <si>
    <t xml:space="preserve">E-115</t>
  </si>
  <si>
    <t xml:space="preserve">E-116</t>
  </si>
  <si>
    <t xml:space="preserve">E-117</t>
  </si>
  <si>
    <t xml:space="preserve">E-118</t>
  </si>
  <si>
    <t xml:space="preserve">E-119</t>
  </si>
  <si>
    <t xml:space="preserve">E-120</t>
  </si>
  <si>
    <t xml:space="preserve">E-121</t>
  </si>
  <si>
    <t xml:space="preserve">E-122</t>
  </si>
  <si>
    <t xml:space="preserve">E-123</t>
  </si>
  <si>
    <t xml:space="preserve">E-124</t>
  </si>
  <si>
    <t xml:space="preserve">E-125</t>
  </si>
  <si>
    <t xml:space="preserve">E-126</t>
  </si>
  <si>
    <t xml:space="preserve">E-127</t>
  </si>
  <si>
    <t xml:space="preserve">E-128</t>
  </si>
  <si>
    <t xml:space="preserve">E-129</t>
  </si>
  <si>
    <t xml:space="preserve">E-130</t>
  </si>
  <si>
    <t xml:space="preserve">E-131</t>
  </si>
  <si>
    <t xml:space="preserve">E-132</t>
  </si>
  <si>
    <t xml:space="preserve">E-133</t>
  </si>
  <si>
    <t xml:space="preserve">E-134</t>
  </si>
  <si>
    <t xml:space="preserve">E-135</t>
  </si>
  <si>
    <t xml:space="preserve">E-136</t>
  </si>
  <si>
    <t xml:space="preserve">E-137</t>
  </si>
  <si>
    <t xml:space="preserve">E-138</t>
  </si>
  <si>
    <t xml:space="preserve">E-139</t>
  </si>
  <si>
    <t xml:space="preserve">E-140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</si>
</sst>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0.0%"/>
    <numFmt numFmtId="167" formatCode="General"/>
    <numFmt numFmtId="168" formatCode="0%"/>
    <numFmt numFmtId="169" formatCode="dd\-mmm\-yyyy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7C2D12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45309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B45309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DDDD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7C2D12"/>
      <rgbColor rgb="FF993366"/>
      <rgbColor rgb="FF33339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Active headcount by department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Dashboard!B9</c:f>
              <c:strCache>
                <c:ptCount val="1"/>
                <c:pt idx="0">
                  <c:v>Active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Dashboard!$A$10:$A$14</c:f>
              <c:strCache>
                <c:ptCount val="5"/>
                <c:pt idx="0">
                  <c:v>Sales</c:v>
                </c:pt>
                <c:pt idx="1">
                  <c:v>Engineering</c:v>
                </c:pt>
                <c:pt idx="2">
                  <c:v>HR</c:v>
                </c:pt>
                <c:pt idx="3">
                  <c:v>Finance</c:v>
                </c:pt>
                <c:pt idx="4">
                  <c:v>Operations</c:v>
                </c:pt>
              </c:strCache>
            </c:strRef>
          </c:cat>
          <c:val>
            <c:numRef>
              <c:f>Dashboard!$B$10:$B$14</c:f>
              <c:numCache>
                <c:formatCode>General</c:formatCode>
                <c:ptCount val="5"/>
                <c:pt idx="0">
                  <c:v>46</c:v>
                </c:pt>
                <c:pt idx="1">
                  <c:v>33</c:v>
                </c:pt>
                <c:pt idx="2">
                  <c:v>13</c:v>
                </c:pt>
                <c:pt idx="3">
                  <c:v>10</c:v>
                </c:pt>
                <c:pt idx="4">
                  <c:v>17</c:v>
                </c:pt>
              </c:numCache>
            </c:numRef>
          </c:val>
        </c:ser>
        <c:gapWidth val="150"/>
        <c:overlap val="0"/>
        <c:axId val="23434740"/>
        <c:axId val="35452949"/>
      </c:barChart>
      <c:catAx>
        <c:axId val="234347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452949"/>
        <c:crosses val="autoZero"/>
        <c:auto val="1"/>
        <c:lblAlgn val="ctr"/>
        <c:lblOffset val="100"/>
        <c:noMultiLvlLbl val="0"/>
      </c:catAx>
      <c:valAx>
        <c:axId val="3545294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43474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Attrition % by department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Dashboard!D9</c:f>
              <c:strCache>
                <c:ptCount val="1"/>
                <c:pt idx="0">
                  <c:v>Attrition %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Dashboard!$A$10:$A$14</c:f>
              <c:strCache>
                <c:ptCount val="5"/>
                <c:pt idx="0">
                  <c:v>Sales</c:v>
                </c:pt>
                <c:pt idx="1">
                  <c:v>Engineering</c:v>
                </c:pt>
                <c:pt idx="2">
                  <c:v>HR</c:v>
                </c:pt>
                <c:pt idx="3">
                  <c:v>Finance</c:v>
                </c:pt>
                <c:pt idx="4">
                  <c:v>Operations</c:v>
                </c:pt>
              </c:strCache>
            </c:strRef>
          </c:cat>
          <c:val>
            <c:numRef>
              <c:f>Dashboard!$D$10:$D$14</c:f>
              <c:numCache>
                <c:formatCode>0.0%</c:formatCode>
                <c:ptCount val="5"/>
                <c:pt idx="0">
                  <c:v>0.163636363636364</c:v>
                </c:pt>
                <c:pt idx="1">
                  <c:v>0.153846153846154</c:v>
                </c:pt>
                <c:pt idx="2">
                  <c:v>0.0714285714285714</c:v>
                </c:pt>
                <c:pt idx="3">
                  <c:v>0</c:v>
                </c:pt>
                <c:pt idx="4">
                  <c:v>0.227272727272727</c:v>
                </c:pt>
              </c:numCache>
            </c:numRef>
          </c:val>
        </c:ser>
        <c:gapWidth val="150"/>
        <c:overlap val="0"/>
        <c:axId val="65686054"/>
        <c:axId val="30731306"/>
      </c:barChart>
      <c:catAx>
        <c:axId val="6568605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731306"/>
        <c:crosses val="autoZero"/>
        <c:auto val="1"/>
        <c:lblAlgn val="ctr"/>
        <c:lblOffset val="100"/>
        <c:noMultiLvlLbl val="0"/>
      </c:catAx>
      <c:valAx>
        <c:axId val="3073130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68605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Joiners by month, 2025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Dashboard!B17</c:f>
              <c:strCache>
                <c:ptCount val="1"/>
                <c:pt idx="0">
                  <c:v>Joiners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Dashboard!$A$18:$A$29</c:f>
              <c:strCache>
                <c:ptCount val="12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</c:strCache>
            </c:strRef>
          </c:cat>
          <c:val>
            <c:numRef>
              <c:f>Dashboard!$B$18:$B$29</c:f>
              <c:numCache>
                <c:formatCode>General</c:formatCode>
                <c:ptCount val="12"/>
                <c:pt idx="0">
                  <c:v>3</c:v>
                </c:pt>
                <c:pt idx="1">
                  <c:v>2</c:v>
                </c:pt>
                <c:pt idx="2">
                  <c:v>6</c:v>
                </c:pt>
                <c:pt idx="3">
                  <c:v>3</c:v>
                </c:pt>
                <c:pt idx="4">
                  <c:v>2</c:v>
                </c:pt>
                <c:pt idx="5">
                  <c:v>1</c:v>
                </c:pt>
                <c:pt idx="6">
                  <c:v>7</c:v>
                </c:pt>
                <c:pt idx="7">
                  <c:v>5</c:v>
                </c:pt>
                <c:pt idx="8">
                  <c:v>6</c:v>
                </c:pt>
                <c:pt idx="9">
                  <c:v>8</c:v>
                </c:pt>
                <c:pt idx="10">
                  <c:v>8</c:v>
                </c:pt>
                <c:pt idx="11">
                  <c:v>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3439416"/>
        <c:axId val="65352513"/>
      </c:lineChart>
      <c:catAx>
        <c:axId val="33439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352513"/>
        <c:crosses val="autoZero"/>
        <c:auto val="1"/>
        <c:lblAlgn val="ctr"/>
        <c:lblOffset val="100"/>
        <c:noMultiLvlLbl val="0"/>
      </c:catAx>
      <c:valAx>
        <c:axId val="6535251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43941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130680</xdr:rowOff>
    </xdr:from>
    <xdr:to>
      <xdr:col>13</xdr:col>
      <xdr:colOff>147600</xdr:colOff>
      <xdr:row>15</xdr:row>
      <xdr:rowOff>163440</xdr:rowOff>
    </xdr:to>
    <xdr:graphicFrame>
      <xdr:nvGraphicFramePr>
        <xdr:cNvPr id="0" name="Chart 1"/>
        <xdr:cNvGraphicFramePr/>
      </xdr:nvGraphicFramePr>
      <xdr:xfrm>
        <a:off x="4840560" y="380880"/>
        <a:ext cx="503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17</xdr:row>
      <xdr:rowOff>130680</xdr:rowOff>
    </xdr:from>
    <xdr:to>
      <xdr:col>13</xdr:col>
      <xdr:colOff>147600</xdr:colOff>
      <xdr:row>31</xdr:row>
      <xdr:rowOff>163440</xdr:rowOff>
    </xdr:to>
    <xdr:graphicFrame>
      <xdr:nvGraphicFramePr>
        <xdr:cNvPr id="1" name="Chart 2"/>
        <xdr:cNvGraphicFramePr/>
      </xdr:nvGraphicFramePr>
      <xdr:xfrm>
        <a:off x="4840560" y="3429000"/>
        <a:ext cx="503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5</xdr:col>
      <xdr:colOff>0</xdr:colOff>
      <xdr:row>33</xdr:row>
      <xdr:rowOff>131040</xdr:rowOff>
    </xdr:from>
    <xdr:to>
      <xdr:col>13</xdr:col>
      <xdr:colOff>147600</xdr:colOff>
      <xdr:row>47</xdr:row>
      <xdr:rowOff>163440</xdr:rowOff>
    </xdr:to>
    <xdr:graphicFrame>
      <xdr:nvGraphicFramePr>
        <xdr:cNvPr id="2" name="Chart 3"/>
        <xdr:cNvGraphicFramePr/>
      </xdr:nvGraphicFramePr>
      <xdr:xfrm>
        <a:off x="4840560" y="6477120"/>
        <a:ext cx="503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2"/>
    <col collapsed="false" customWidth="true" hidden="false" outlineLevel="0" max="4" min="4" style="0" width="14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n">
        <f aca="false">COUNTIF(Data!$E$2:$E$141,"Active")</f>
        <v>119</v>
      </c>
    </row>
    <row r="5" customFormat="false" ht="15" hidden="false" customHeight="false" outlineLevel="0" collapsed="false">
      <c r="A5" s="3" t="s">
        <v>3</v>
      </c>
      <c r="B5" s="4" t="n">
        <f aca="false">COUNTIF(Data!$E$2:$E$141,"Exited")</f>
        <v>21</v>
      </c>
    </row>
    <row r="6" customFormat="false" ht="15" hidden="false" customHeight="false" outlineLevel="0" collapsed="false">
      <c r="A6" s="3" t="s">
        <v>4</v>
      </c>
      <c r="B6" s="5" t="n">
        <f aca="false">IFERROR(B5/(B4+B5),0)</f>
        <v>0.15</v>
      </c>
    </row>
    <row r="9" customFormat="false" ht="15" hidden="false" customHeight="false" outlineLevel="0" collapsed="false">
      <c r="A9" s="6" t="s">
        <v>5</v>
      </c>
      <c r="B9" s="6" t="s">
        <v>6</v>
      </c>
      <c r="C9" s="6" t="s">
        <v>7</v>
      </c>
      <c r="D9" s="6" t="s">
        <v>8</v>
      </c>
    </row>
    <row r="10" customFormat="false" ht="15" hidden="false" customHeight="false" outlineLevel="0" collapsed="false">
      <c r="A10" s="7" t="s">
        <v>9</v>
      </c>
      <c r="B10" s="8" t="n">
        <f aca="false">COUNTIFS(Data!$B$2:$B$141,A10,Data!$E$2:$E$141,"Active")</f>
        <v>46</v>
      </c>
      <c r="C10" s="8" t="n">
        <f aca="false">COUNTIFS(Data!$B$2:$B$141,A10,Data!$E$2:$E$141,"Exited")</f>
        <v>9</v>
      </c>
      <c r="D10" s="9" t="n">
        <f aca="false">IFERROR(C10/(B10+C10),0)</f>
        <v>0.163636363636364</v>
      </c>
    </row>
    <row r="11" customFormat="false" ht="15" hidden="false" customHeight="false" outlineLevel="0" collapsed="false">
      <c r="A11" s="7" t="s">
        <v>10</v>
      </c>
      <c r="B11" s="8" t="n">
        <f aca="false">COUNTIFS(Data!$B$2:$B$141,A11,Data!$E$2:$E$141,"Active")</f>
        <v>33</v>
      </c>
      <c r="C11" s="8" t="n">
        <f aca="false">COUNTIFS(Data!$B$2:$B$141,A11,Data!$E$2:$E$141,"Exited")</f>
        <v>6</v>
      </c>
      <c r="D11" s="9" t="n">
        <f aca="false">IFERROR(C11/(B11+C11),0)</f>
        <v>0.153846153846154</v>
      </c>
    </row>
    <row r="12" customFormat="false" ht="15" hidden="false" customHeight="false" outlineLevel="0" collapsed="false">
      <c r="A12" s="7" t="s">
        <v>11</v>
      </c>
      <c r="B12" s="8" t="n">
        <f aca="false">COUNTIFS(Data!$B$2:$B$141,A12,Data!$E$2:$E$141,"Active")</f>
        <v>13</v>
      </c>
      <c r="C12" s="8" t="n">
        <f aca="false">COUNTIFS(Data!$B$2:$B$141,A12,Data!$E$2:$E$141,"Exited")</f>
        <v>1</v>
      </c>
      <c r="D12" s="9" t="n">
        <f aca="false">IFERROR(C12/(B12+C12),0)</f>
        <v>0.0714285714285714</v>
      </c>
    </row>
    <row r="13" customFormat="false" ht="15" hidden="false" customHeight="false" outlineLevel="0" collapsed="false">
      <c r="A13" s="7" t="s">
        <v>12</v>
      </c>
      <c r="B13" s="8" t="n">
        <f aca="false">COUNTIFS(Data!$B$2:$B$141,A13,Data!$E$2:$E$141,"Active")</f>
        <v>10</v>
      </c>
      <c r="C13" s="8" t="n">
        <f aca="false">COUNTIFS(Data!$B$2:$B$141,A13,Data!$E$2:$E$141,"Exited")</f>
        <v>0</v>
      </c>
      <c r="D13" s="9" t="n">
        <f aca="false">IFERROR(C13/(B13+C13),0)</f>
        <v>0</v>
      </c>
    </row>
    <row r="14" customFormat="false" ht="15" hidden="false" customHeight="false" outlineLevel="0" collapsed="false">
      <c r="A14" s="7" t="s">
        <v>13</v>
      </c>
      <c r="B14" s="8" t="n">
        <f aca="false">COUNTIFS(Data!$B$2:$B$141,A14,Data!$E$2:$E$141,"Active")</f>
        <v>17</v>
      </c>
      <c r="C14" s="8" t="n">
        <f aca="false">COUNTIFS(Data!$B$2:$B$141,A14,Data!$E$2:$E$141,"Exited")</f>
        <v>5</v>
      </c>
      <c r="D14" s="9" t="n">
        <f aca="false">IFERROR(C14/(B14+C14),0)</f>
        <v>0.227272727272727</v>
      </c>
    </row>
    <row r="17" customFormat="false" ht="15" hidden="false" customHeight="false" outlineLevel="0" collapsed="false">
      <c r="A17" s="6" t="s">
        <v>14</v>
      </c>
      <c r="B17" s="6" t="s">
        <v>15</v>
      </c>
    </row>
    <row r="18" customFormat="false" ht="15" hidden="false" customHeight="false" outlineLevel="0" collapsed="false">
      <c r="A18" s="7" t="s">
        <v>16</v>
      </c>
      <c r="B18" s="8" t="n">
        <f aca="false">COUNTIF(Data!$F$2:$F$141,A18)</f>
        <v>3</v>
      </c>
    </row>
    <row r="19" customFormat="false" ht="15" hidden="false" customHeight="false" outlineLevel="0" collapsed="false">
      <c r="A19" s="7" t="s">
        <v>17</v>
      </c>
      <c r="B19" s="8" t="n">
        <f aca="false">COUNTIF(Data!$F$2:$F$141,A19)</f>
        <v>2</v>
      </c>
    </row>
    <row r="20" customFormat="false" ht="15" hidden="false" customHeight="false" outlineLevel="0" collapsed="false">
      <c r="A20" s="7" t="s">
        <v>18</v>
      </c>
      <c r="B20" s="8" t="n">
        <f aca="false">COUNTIF(Data!$F$2:$F$141,A20)</f>
        <v>6</v>
      </c>
    </row>
    <row r="21" customFormat="false" ht="15" hidden="false" customHeight="false" outlineLevel="0" collapsed="false">
      <c r="A21" s="7" t="s">
        <v>19</v>
      </c>
      <c r="B21" s="8" t="n">
        <f aca="false">COUNTIF(Data!$F$2:$F$141,A21)</f>
        <v>3</v>
      </c>
    </row>
    <row r="22" customFormat="false" ht="15" hidden="false" customHeight="false" outlineLevel="0" collapsed="false">
      <c r="A22" s="7" t="s">
        <v>20</v>
      </c>
      <c r="B22" s="8" t="n">
        <f aca="false">COUNTIF(Data!$F$2:$F$141,A22)</f>
        <v>2</v>
      </c>
    </row>
    <row r="23" customFormat="false" ht="15" hidden="false" customHeight="false" outlineLevel="0" collapsed="false">
      <c r="A23" s="7" t="s">
        <v>21</v>
      </c>
      <c r="B23" s="8" t="n">
        <f aca="false">COUNTIF(Data!$F$2:$F$141,A23)</f>
        <v>1</v>
      </c>
    </row>
    <row r="24" customFormat="false" ht="15" hidden="false" customHeight="false" outlineLevel="0" collapsed="false">
      <c r="A24" s="7" t="s">
        <v>22</v>
      </c>
      <c r="B24" s="8" t="n">
        <f aca="false">COUNTIF(Data!$F$2:$F$141,A24)</f>
        <v>7</v>
      </c>
    </row>
    <row r="25" customFormat="false" ht="15" hidden="false" customHeight="false" outlineLevel="0" collapsed="false">
      <c r="A25" s="7" t="s">
        <v>23</v>
      </c>
      <c r="B25" s="8" t="n">
        <f aca="false">COUNTIF(Data!$F$2:$F$141,A25)</f>
        <v>5</v>
      </c>
    </row>
    <row r="26" customFormat="false" ht="15" hidden="false" customHeight="false" outlineLevel="0" collapsed="false">
      <c r="A26" s="7" t="s">
        <v>24</v>
      </c>
      <c r="B26" s="8" t="n">
        <f aca="false">COUNTIF(Data!$F$2:$F$141,A26)</f>
        <v>6</v>
      </c>
    </row>
    <row r="27" customFormat="false" ht="15" hidden="false" customHeight="false" outlineLevel="0" collapsed="false">
      <c r="A27" s="7" t="s">
        <v>25</v>
      </c>
      <c r="B27" s="8" t="n">
        <f aca="false">COUNTIF(Data!$F$2:$F$141,A27)</f>
        <v>8</v>
      </c>
    </row>
    <row r="28" customFormat="false" ht="15" hidden="false" customHeight="false" outlineLevel="0" collapsed="false">
      <c r="A28" s="7" t="s">
        <v>26</v>
      </c>
      <c r="B28" s="8" t="n">
        <f aca="false">COUNTIF(Data!$F$2:$F$141,A28)</f>
        <v>8</v>
      </c>
    </row>
    <row r="29" customFormat="false" ht="15" hidden="false" customHeight="false" outlineLevel="0" collapsed="false">
      <c r="A29" s="7" t="s">
        <v>27</v>
      </c>
      <c r="B29" s="8" t="n">
        <f aca="false">COUNTIF(Data!$F$2:$F$141,A29)</f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4" min="3" style="0" width="14"/>
    <col collapsed="false" customWidth="true" hidden="false" outlineLevel="0" max="5" min="5" style="0" width="16"/>
    <col collapsed="false" customWidth="true" hidden="false" outlineLevel="0" max="6" min="6" style="0" width="18"/>
  </cols>
  <sheetData>
    <row r="1" customFormat="false" ht="15" hidden="false" customHeight="false" outlineLevel="0" collapsed="false">
      <c r="A1" s="6" t="s">
        <v>28</v>
      </c>
      <c r="B1" s="6" t="s">
        <v>5</v>
      </c>
      <c r="C1" s="6" t="s">
        <v>29</v>
      </c>
      <c r="D1" s="6" t="s">
        <v>30</v>
      </c>
      <c r="E1" s="6" t="s">
        <v>31</v>
      </c>
      <c r="F1" s="6" t="s">
        <v>32</v>
      </c>
      <c r="H1" s="2" t="s">
        <v>33</v>
      </c>
    </row>
    <row r="2" customFormat="false" ht="15" hidden="false" customHeight="false" outlineLevel="0" collapsed="false">
      <c r="A2" s="7" t="s">
        <v>34</v>
      </c>
      <c r="B2" s="7" t="s">
        <v>9</v>
      </c>
      <c r="C2" s="10" t="n">
        <v>45889</v>
      </c>
      <c r="D2" s="10"/>
      <c r="E2" s="11" t="str">
        <f aca="false">IF(D2="","Active","Exited")</f>
        <v>Active</v>
      </c>
      <c r="F2" s="11" t="str">
        <f aca="false">TEXT(C2,"yyyy-mm")</f>
        <v>2025-08</v>
      </c>
    </row>
    <row r="3" customFormat="false" ht="15" hidden="false" customHeight="false" outlineLevel="0" collapsed="false">
      <c r="A3" s="7" t="s">
        <v>35</v>
      </c>
      <c r="B3" s="7" t="s">
        <v>10</v>
      </c>
      <c r="C3" s="10" t="n">
        <v>44930</v>
      </c>
      <c r="D3" s="10"/>
      <c r="E3" s="11" t="str">
        <f aca="false">IF(D3="","Active","Exited")</f>
        <v>Active</v>
      </c>
      <c r="F3" s="11" t="str">
        <f aca="false">TEXT(C3,"yyyy-mm")</f>
        <v>2023-01</v>
      </c>
    </row>
    <row r="4" customFormat="false" ht="15" hidden="false" customHeight="false" outlineLevel="0" collapsed="false">
      <c r="A4" s="7" t="s">
        <v>36</v>
      </c>
      <c r="B4" s="7" t="s">
        <v>11</v>
      </c>
      <c r="C4" s="10" t="n">
        <v>45100</v>
      </c>
      <c r="D4" s="10"/>
      <c r="E4" s="11" t="str">
        <f aca="false">IF(D4="","Active","Exited")</f>
        <v>Active</v>
      </c>
      <c r="F4" s="11" t="str">
        <f aca="false">TEXT(C4,"yyyy-mm")</f>
        <v>2023-06</v>
      </c>
    </row>
    <row r="5" customFormat="false" ht="15" hidden="false" customHeight="false" outlineLevel="0" collapsed="false">
      <c r="A5" s="7" t="s">
        <v>37</v>
      </c>
      <c r="B5" s="7" t="s">
        <v>9</v>
      </c>
      <c r="C5" s="10" t="n">
        <v>45722</v>
      </c>
      <c r="D5" s="10"/>
      <c r="E5" s="11" t="str">
        <f aca="false">IF(D5="","Active","Exited")</f>
        <v>Active</v>
      </c>
      <c r="F5" s="11" t="str">
        <f aca="false">TEXT(C5,"yyyy-mm")</f>
        <v>2025-03</v>
      </c>
    </row>
    <row r="6" customFormat="false" ht="15" hidden="false" customHeight="false" outlineLevel="0" collapsed="false">
      <c r="A6" s="7" t="s">
        <v>38</v>
      </c>
      <c r="B6" s="7" t="s">
        <v>12</v>
      </c>
      <c r="C6" s="10" t="n">
        <v>45906</v>
      </c>
      <c r="D6" s="10"/>
      <c r="E6" s="11" t="str">
        <f aca="false">IF(D6="","Active","Exited")</f>
        <v>Active</v>
      </c>
      <c r="F6" s="11" t="str">
        <f aca="false">TEXT(C6,"yyyy-mm")</f>
        <v>2025-09</v>
      </c>
    </row>
    <row r="7" customFormat="false" ht="15" hidden="false" customHeight="false" outlineLevel="0" collapsed="false">
      <c r="A7" s="7" t="s">
        <v>39</v>
      </c>
      <c r="B7" s="7" t="s">
        <v>10</v>
      </c>
      <c r="C7" s="10" t="n">
        <v>45607</v>
      </c>
      <c r="D7" s="10"/>
      <c r="E7" s="11" t="str">
        <f aca="false">IF(D7="","Active","Exited")</f>
        <v>Active</v>
      </c>
      <c r="F7" s="11" t="str">
        <f aca="false">TEXT(C7,"yyyy-mm")</f>
        <v>2024-11</v>
      </c>
    </row>
    <row r="8" customFormat="false" ht="15" hidden="false" customHeight="false" outlineLevel="0" collapsed="false">
      <c r="A8" s="7" t="s">
        <v>40</v>
      </c>
      <c r="B8" s="7" t="s">
        <v>10</v>
      </c>
      <c r="C8" s="10" t="n">
        <v>45749</v>
      </c>
      <c r="D8" s="10"/>
      <c r="E8" s="11" t="str">
        <f aca="false">IF(D8="","Active","Exited")</f>
        <v>Active</v>
      </c>
      <c r="F8" s="11" t="str">
        <f aca="false">TEXT(C8,"yyyy-mm")</f>
        <v>2025-04</v>
      </c>
    </row>
    <row r="9" customFormat="false" ht="15" hidden="false" customHeight="false" outlineLevel="0" collapsed="false">
      <c r="A9" s="7" t="s">
        <v>41</v>
      </c>
      <c r="B9" s="7" t="s">
        <v>9</v>
      </c>
      <c r="C9" s="10" t="n">
        <v>45252</v>
      </c>
      <c r="D9" s="10" t="n">
        <v>45377</v>
      </c>
      <c r="E9" s="11" t="str">
        <f aca="false">IF(D9="","Active","Exited")</f>
        <v>Exited</v>
      </c>
      <c r="F9" s="11" t="str">
        <f aca="false">TEXT(C9,"yyyy-mm")</f>
        <v>2023-11</v>
      </c>
    </row>
    <row r="10" customFormat="false" ht="15" hidden="false" customHeight="false" outlineLevel="0" collapsed="false">
      <c r="A10" s="7" t="s">
        <v>42</v>
      </c>
      <c r="B10" s="7" t="s">
        <v>9</v>
      </c>
      <c r="C10" s="10" t="n">
        <v>45880</v>
      </c>
      <c r="D10" s="10"/>
      <c r="E10" s="11" t="str">
        <f aca="false">IF(D10="","Active","Exited")</f>
        <v>Active</v>
      </c>
      <c r="F10" s="11" t="str">
        <f aca="false">TEXT(C10,"yyyy-mm")</f>
        <v>2025-08</v>
      </c>
    </row>
    <row r="11" customFormat="false" ht="15" hidden="false" customHeight="false" outlineLevel="0" collapsed="false">
      <c r="A11" s="7" t="s">
        <v>43</v>
      </c>
      <c r="B11" s="7" t="s">
        <v>9</v>
      </c>
      <c r="C11" s="10" t="n">
        <v>45898</v>
      </c>
      <c r="D11" s="10"/>
      <c r="E11" s="11" t="str">
        <f aca="false">IF(D11="","Active","Exited")</f>
        <v>Active</v>
      </c>
      <c r="F11" s="11" t="str">
        <f aca="false">TEXT(C11,"yyyy-mm")</f>
        <v>2025-08</v>
      </c>
    </row>
    <row r="12" customFormat="false" ht="15" hidden="false" customHeight="false" outlineLevel="0" collapsed="false">
      <c r="A12" s="7" t="s">
        <v>44</v>
      </c>
      <c r="B12" s="7" t="s">
        <v>10</v>
      </c>
      <c r="C12" s="10" t="n">
        <v>45195</v>
      </c>
      <c r="D12" s="10" t="n">
        <v>45664</v>
      </c>
      <c r="E12" s="11" t="str">
        <f aca="false">IF(D12="","Active","Exited")</f>
        <v>Exited</v>
      </c>
      <c r="F12" s="11" t="str">
        <f aca="false">TEXT(C12,"yyyy-mm")</f>
        <v>2023-09</v>
      </c>
    </row>
    <row r="13" customFormat="false" ht="15" hidden="false" customHeight="false" outlineLevel="0" collapsed="false">
      <c r="A13" s="7" t="s">
        <v>45</v>
      </c>
      <c r="B13" s="7" t="s">
        <v>13</v>
      </c>
      <c r="C13" s="10" t="n">
        <v>45137</v>
      </c>
      <c r="D13" s="10"/>
      <c r="E13" s="11" t="str">
        <f aca="false">IF(D13="","Active","Exited")</f>
        <v>Active</v>
      </c>
      <c r="F13" s="11" t="str">
        <f aca="false">TEXT(C13,"yyyy-mm")</f>
        <v>2023-07</v>
      </c>
    </row>
    <row r="14" customFormat="false" ht="15" hidden="false" customHeight="false" outlineLevel="0" collapsed="false">
      <c r="A14" s="7" t="s">
        <v>46</v>
      </c>
      <c r="B14" s="7" t="s">
        <v>13</v>
      </c>
      <c r="C14" s="10" t="n">
        <v>45815</v>
      </c>
      <c r="D14" s="10"/>
      <c r="E14" s="11" t="str">
        <f aca="false">IF(D14="","Active","Exited")</f>
        <v>Active</v>
      </c>
      <c r="F14" s="11" t="str">
        <f aca="false">TEXT(C14,"yyyy-mm")</f>
        <v>2025-06</v>
      </c>
    </row>
    <row r="15" customFormat="false" ht="15" hidden="false" customHeight="false" outlineLevel="0" collapsed="false">
      <c r="A15" s="7" t="s">
        <v>47</v>
      </c>
      <c r="B15" s="7" t="s">
        <v>9</v>
      </c>
      <c r="C15" s="10" t="n">
        <v>45359</v>
      </c>
      <c r="D15" s="10" t="n">
        <v>45527</v>
      </c>
      <c r="E15" s="11" t="str">
        <f aca="false">IF(D15="","Active","Exited")</f>
        <v>Exited</v>
      </c>
      <c r="F15" s="11" t="str">
        <f aca="false">TEXT(C15,"yyyy-mm")</f>
        <v>2024-03</v>
      </c>
    </row>
    <row r="16" customFormat="false" ht="15" hidden="false" customHeight="false" outlineLevel="0" collapsed="false">
      <c r="A16" s="7" t="s">
        <v>48</v>
      </c>
      <c r="B16" s="7" t="s">
        <v>9</v>
      </c>
      <c r="C16" s="10" t="n">
        <v>45419</v>
      </c>
      <c r="D16" s="10"/>
      <c r="E16" s="11" t="str">
        <f aca="false">IF(D16="","Active","Exited")</f>
        <v>Active</v>
      </c>
      <c r="F16" s="11" t="str">
        <f aca="false">TEXT(C16,"yyyy-mm")</f>
        <v>2024-05</v>
      </c>
    </row>
    <row r="17" customFormat="false" ht="15" hidden="false" customHeight="false" outlineLevel="0" collapsed="false">
      <c r="A17" s="7" t="s">
        <v>49</v>
      </c>
      <c r="B17" s="7" t="s">
        <v>10</v>
      </c>
      <c r="C17" s="10" t="n">
        <v>45785</v>
      </c>
      <c r="D17" s="10"/>
      <c r="E17" s="11" t="str">
        <f aca="false">IF(D17="","Active","Exited")</f>
        <v>Active</v>
      </c>
      <c r="F17" s="11" t="str">
        <f aca="false">TEXT(C17,"yyyy-mm")</f>
        <v>2025-05</v>
      </c>
    </row>
    <row r="18" customFormat="false" ht="15" hidden="false" customHeight="false" outlineLevel="0" collapsed="false">
      <c r="A18" s="7" t="s">
        <v>50</v>
      </c>
      <c r="B18" s="7" t="s">
        <v>9</v>
      </c>
      <c r="C18" s="10" t="n">
        <v>45651</v>
      </c>
      <c r="D18" s="10"/>
      <c r="E18" s="11" t="str">
        <f aca="false">IF(D18="","Active","Exited")</f>
        <v>Active</v>
      </c>
      <c r="F18" s="11" t="str">
        <f aca="false">TEXT(C18,"yyyy-mm")</f>
        <v>2024-12</v>
      </c>
    </row>
    <row r="19" customFormat="false" ht="15" hidden="false" customHeight="false" outlineLevel="0" collapsed="false">
      <c r="A19" s="7" t="s">
        <v>51</v>
      </c>
      <c r="B19" s="7" t="s">
        <v>11</v>
      </c>
      <c r="C19" s="10" t="n">
        <v>45985</v>
      </c>
      <c r="D19" s="10"/>
      <c r="E19" s="11" t="str">
        <f aca="false">IF(D19="","Active","Exited")</f>
        <v>Active</v>
      </c>
      <c r="F19" s="11" t="str">
        <f aca="false">TEXT(C19,"yyyy-mm")</f>
        <v>2025-11</v>
      </c>
    </row>
    <row r="20" customFormat="false" ht="15" hidden="false" customHeight="false" outlineLevel="0" collapsed="false">
      <c r="A20" s="7" t="s">
        <v>52</v>
      </c>
      <c r="B20" s="7" t="s">
        <v>13</v>
      </c>
      <c r="C20" s="10" t="n">
        <v>45954</v>
      </c>
      <c r="D20" s="10"/>
      <c r="E20" s="11" t="str">
        <f aca="false">IF(D20="","Active","Exited")</f>
        <v>Active</v>
      </c>
      <c r="F20" s="11" t="str">
        <f aca="false">TEXT(C20,"yyyy-mm")</f>
        <v>2025-10</v>
      </c>
    </row>
    <row r="21" customFormat="false" ht="15" hidden="false" customHeight="false" outlineLevel="0" collapsed="false">
      <c r="A21" s="7" t="s">
        <v>53</v>
      </c>
      <c r="B21" s="7" t="s">
        <v>10</v>
      </c>
      <c r="C21" s="10" t="n">
        <v>44965</v>
      </c>
      <c r="D21" s="10"/>
      <c r="E21" s="11" t="str">
        <f aca="false">IF(D21="","Active","Exited")</f>
        <v>Active</v>
      </c>
      <c r="F21" s="11" t="str">
        <f aca="false">TEXT(C21,"yyyy-mm")</f>
        <v>2023-02</v>
      </c>
    </row>
    <row r="22" customFormat="false" ht="15" hidden="false" customHeight="false" outlineLevel="0" collapsed="false">
      <c r="A22" s="7" t="s">
        <v>54</v>
      </c>
      <c r="B22" s="7" t="s">
        <v>12</v>
      </c>
      <c r="C22" s="10" t="n">
        <v>44935</v>
      </c>
      <c r="D22" s="10"/>
      <c r="E22" s="11" t="str">
        <f aca="false">IF(D22="","Active","Exited")</f>
        <v>Active</v>
      </c>
      <c r="F22" s="11" t="str">
        <f aca="false">TEXT(C22,"yyyy-mm")</f>
        <v>2023-01</v>
      </c>
    </row>
    <row r="23" customFormat="false" ht="15" hidden="false" customHeight="false" outlineLevel="0" collapsed="false">
      <c r="A23" s="7" t="s">
        <v>55</v>
      </c>
      <c r="B23" s="7" t="s">
        <v>9</v>
      </c>
      <c r="C23" s="10" t="n">
        <v>45216</v>
      </c>
      <c r="D23" s="10"/>
      <c r="E23" s="11" t="str">
        <f aca="false">IF(D23="","Active","Exited")</f>
        <v>Active</v>
      </c>
      <c r="F23" s="11" t="str">
        <f aca="false">TEXT(C23,"yyyy-mm")</f>
        <v>2023-10</v>
      </c>
    </row>
    <row r="24" customFormat="false" ht="15" hidden="false" customHeight="false" outlineLevel="0" collapsed="false">
      <c r="A24" s="7" t="s">
        <v>56</v>
      </c>
      <c r="B24" s="7" t="s">
        <v>11</v>
      </c>
      <c r="C24" s="10" t="n">
        <v>45053</v>
      </c>
      <c r="D24" s="10"/>
      <c r="E24" s="11" t="str">
        <f aca="false">IF(D24="","Active","Exited")</f>
        <v>Active</v>
      </c>
      <c r="F24" s="11" t="str">
        <f aca="false">TEXT(C24,"yyyy-mm")</f>
        <v>2023-05</v>
      </c>
    </row>
    <row r="25" customFormat="false" ht="15" hidden="false" customHeight="false" outlineLevel="0" collapsed="false">
      <c r="A25" s="7" t="s">
        <v>57</v>
      </c>
      <c r="B25" s="7" t="s">
        <v>10</v>
      </c>
      <c r="C25" s="10" t="n">
        <v>45915</v>
      </c>
      <c r="D25" s="10"/>
      <c r="E25" s="11" t="str">
        <f aca="false">IF(D25="","Active","Exited")</f>
        <v>Active</v>
      </c>
      <c r="F25" s="11" t="str">
        <f aca="false">TEXT(C25,"yyyy-mm")</f>
        <v>2025-09</v>
      </c>
    </row>
    <row r="26" customFormat="false" ht="15" hidden="false" customHeight="false" outlineLevel="0" collapsed="false">
      <c r="A26" s="7" t="s">
        <v>58</v>
      </c>
      <c r="B26" s="7" t="s">
        <v>9</v>
      </c>
      <c r="C26" s="10" t="n">
        <v>45043</v>
      </c>
      <c r="D26" s="10" t="n">
        <v>45244</v>
      </c>
      <c r="E26" s="11" t="str">
        <f aca="false">IF(D26="","Active","Exited")</f>
        <v>Exited</v>
      </c>
      <c r="F26" s="11" t="str">
        <f aca="false">TEXT(C26,"yyyy-mm")</f>
        <v>2023-04</v>
      </c>
    </row>
    <row r="27" customFormat="false" ht="15" hidden="false" customHeight="false" outlineLevel="0" collapsed="false">
      <c r="A27" s="7" t="s">
        <v>59</v>
      </c>
      <c r="B27" s="7" t="s">
        <v>9</v>
      </c>
      <c r="C27" s="10" t="n">
        <v>45127</v>
      </c>
      <c r="D27" s="10"/>
      <c r="E27" s="11" t="str">
        <f aca="false">IF(D27="","Active","Exited")</f>
        <v>Active</v>
      </c>
      <c r="F27" s="11" t="str">
        <f aca="false">TEXT(C27,"yyyy-mm")</f>
        <v>2023-07</v>
      </c>
    </row>
    <row r="28" customFormat="false" ht="15" hidden="false" customHeight="false" outlineLevel="0" collapsed="false">
      <c r="A28" s="7" t="s">
        <v>60</v>
      </c>
      <c r="B28" s="7" t="s">
        <v>10</v>
      </c>
      <c r="C28" s="10" t="n">
        <v>45056</v>
      </c>
      <c r="D28" s="10"/>
      <c r="E28" s="11" t="str">
        <f aca="false">IF(D28="","Active","Exited")</f>
        <v>Active</v>
      </c>
      <c r="F28" s="11" t="str">
        <f aca="false">TEXT(C28,"yyyy-mm")</f>
        <v>2023-05</v>
      </c>
    </row>
    <row r="29" customFormat="false" ht="15" hidden="false" customHeight="false" outlineLevel="0" collapsed="false">
      <c r="A29" s="7" t="s">
        <v>61</v>
      </c>
      <c r="B29" s="7" t="s">
        <v>10</v>
      </c>
      <c r="C29" s="10" t="n">
        <v>45962</v>
      </c>
      <c r="D29" s="10"/>
      <c r="E29" s="11" t="str">
        <f aca="false">IF(D29="","Active","Exited")</f>
        <v>Active</v>
      </c>
      <c r="F29" s="11" t="str">
        <f aca="false">TEXT(C29,"yyyy-mm")</f>
        <v>2025-11</v>
      </c>
    </row>
    <row r="30" customFormat="false" ht="15" hidden="false" customHeight="false" outlineLevel="0" collapsed="false">
      <c r="A30" s="7" t="s">
        <v>62</v>
      </c>
      <c r="B30" s="7" t="s">
        <v>9</v>
      </c>
      <c r="C30" s="10" t="n">
        <v>45494</v>
      </c>
      <c r="D30" s="10"/>
      <c r="E30" s="11" t="str">
        <f aca="false">IF(D30="","Active","Exited")</f>
        <v>Active</v>
      </c>
      <c r="F30" s="11" t="str">
        <f aca="false">TEXT(C30,"yyyy-mm")</f>
        <v>2024-07</v>
      </c>
    </row>
    <row r="31" customFormat="false" ht="15" hidden="false" customHeight="false" outlineLevel="0" collapsed="false">
      <c r="A31" s="7" t="s">
        <v>63</v>
      </c>
      <c r="B31" s="7" t="s">
        <v>10</v>
      </c>
      <c r="C31" s="10" t="n">
        <v>45906</v>
      </c>
      <c r="D31" s="10"/>
      <c r="E31" s="11" t="str">
        <f aca="false">IF(D31="","Active","Exited")</f>
        <v>Active</v>
      </c>
      <c r="F31" s="11" t="str">
        <f aca="false">TEXT(C31,"yyyy-mm")</f>
        <v>2025-09</v>
      </c>
    </row>
    <row r="32" customFormat="false" ht="15" hidden="false" customHeight="false" outlineLevel="0" collapsed="false">
      <c r="A32" s="7" t="s">
        <v>64</v>
      </c>
      <c r="B32" s="7" t="s">
        <v>9</v>
      </c>
      <c r="C32" s="10" t="n">
        <v>45998</v>
      </c>
      <c r="D32" s="10"/>
      <c r="E32" s="11" t="str">
        <f aca="false">IF(D32="","Active","Exited")</f>
        <v>Active</v>
      </c>
      <c r="F32" s="11" t="str">
        <f aca="false">TEXT(C32,"yyyy-mm")</f>
        <v>2025-12</v>
      </c>
    </row>
    <row r="33" customFormat="false" ht="15" hidden="false" customHeight="false" outlineLevel="0" collapsed="false">
      <c r="A33" s="7" t="s">
        <v>65</v>
      </c>
      <c r="B33" s="7" t="s">
        <v>13</v>
      </c>
      <c r="C33" s="10" t="n">
        <v>45458</v>
      </c>
      <c r="D33" s="10"/>
      <c r="E33" s="11" t="str">
        <f aca="false">IF(D33="","Active","Exited")</f>
        <v>Active</v>
      </c>
      <c r="F33" s="11" t="str">
        <f aca="false">TEXT(C33,"yyyy-mm")</f>
        <v>2024-06</v>
      </c>
    </row>
    <row r="34" customFormat="false" ht="15" hidden="false" customHeight="false" outlineLevel="0" collapsed="false">
      <c r="A34" s="7" t="s">
        <v>66</v>
      </c>
      <c r="B34" s="7" t="s">
        <v>13</v>
      </c>
      <c r="C34" s="10" t="n">
        <v>45341</v>
      </c>
      <c r="D34" s="10"/>
      <c r="E34" s="11" t="str">
        <f aca="false">IF(D34="","Active","Exited")</f>
        <v>Active</v>
      </c>
      <c r="F34" s="11" t="str">
        <f aca="false">TEXT(C34,"yyyy-mm")</f>
        <v>2024-02</v>
      </c>
    </row>
    <row r="35" customFormat="false" ht="15" hidden="false" customHeight="false" outlineLevel="0" collapsed="false">
      <c r="A35" s="7" t="s">
        <v>67</v>
      </c>
      <c r="B35" s="7" t="s">
        <v>9</v>
      </c>
      <c r="C35" s="10" t="n">
        <v>45176</v>
      </c>
      <c r="D35" s="10"/>
      <c r="E35" s="11" t="str">
        <f aca="false">IF(D35="","Active","Exited")</f>
        <v>Active</v>
      </c>
      <c r="F35" s="11" t="str">
        <f aca="false">TEXT(C35,"yyyy-mm")</f>
        <v>2023-09</v>
      </c>
    </row>
    <row r="36" customFormat="false" ht="15" hidden="false" customHeight="false" outlineLevel="0" collapsed="false">
      <c r="A36" s="7" t="s">
        <v>68</v>
      </c>
      <c r="B36" s="7" t="s">
        <v>10</v>
      </c>
      <c r="C36" s="10" t="n">
        <v>45419</v>
      </c>
      <c r="D36" s="10"/>
      <c r="E36" s="11" t="str">
        <f aca="false">IF(D36="","Active","Exited")</f>
        <v>Active</v>
      </c>
      <c r="F36" s="11" t="str">
        <f aca="false">TEXT(C36,"yyyy-mm")</f>
        <v>2024-05</v>
      </c>
    </row>
    <row r="37" customFormat="false" ht="15" hidden="false" customHeight="false" outlineLevel="0" collapsed="false">
      <c r="A37" s="7" t="s">
        <v>69</v>
      </c>
      <c r="B37" s="7" t="s">
        <v>9</v>
      </c>
      <c r="C37" s="10" t="n">
        <v>45547</v>
      </c>
      <c r="D37" s="10"/>
      <c r="E37" s="11" t="str">
        <f aca="false">IF(D37="","Active","Exited")</f>
        <v>Active</v>
      </c>
      <c r="F37" s="11" t="str">
        <f aca="false">TEXT(C37,"yyyy-mm")</f>
        <v>2024-09</v>
      </c>
    </row>
    <row r="38" customFormat="false" ht="15" hidden="false" customHeight="false" outlineLevel="0" collapsed="false">
      <c r="A38" s="7" t="s">
        <v>70</v>
      </c>
      <c r="B38" s="7" t="s">
        <v>13</v>
      </c>
      <c r="C38" s="10" t="n">
        <v>45243</v>
      </c>
      <c r="D38" s="10"/>
      <c r="E38" s="11" t="str">
        <f aca="false">IF(D38="","Active","Exited")</f>
        <v>Active</v>
      </c>
      <c r="F38" s="11" t="str">
        <f aca="false">TEXT(C38,"yyyy-mm")</f>
        <v>2023-11</v>
      </c>
    </row>
    <row r="39" customFormat="false" ht="15" hidden="false" customHeight="false" outlineLevel="0" collapsed="false">
      <c r="A39" s="7" t="s">
        <v>71</v>
      </c>
      <c r="B39" s="7" t="s">
        <v>10</v>
      </c>
      <c r="C39" s="10" t="n">
        <v>45676</v>
      </c>
      <c r="D39" s="10" t="n">
        <v>45806</v>
      </c>
      <c r="E39" s="11" t="str">
        <f aca="false">IF(D39="","Active","Exited")</f>
        <v>Exited</v>
      </c>
      <c r="F39" s="11" t="str">
        <f aca="false">TEXT(C39,"yyyy-mm")</f>
        <v>2025-01</v>
      </c>
    </row>
    <row r="40" customFormat="false" ht="15" hidden="false" customHeight="false" outlineLevel="0" collapsed="false">
      <c r="A40" s="7" t="s">
        <v>72</v>
      </c>
      <c r="B40" s="7" t="s">
        <v>13</v>
      </c>
      <c r="C40" s="10" t="n">
        <v>45376</v>
      </c>
      <c r="D40" s="10"/>
      <c r="E40" s="11" t="str">
        <f aca="false">IF(D40="","Active","Exited")</f>
        <v>Active</v>
      </c>
      <c r="F40" s="11" t="str">
        <f aca="false">TEXT(C40,"yyyy-mm")</f>
        <v>2024-03</v>
      </c>
    </row>
    <row r="41" customFormat="false" ht="15" hidden="false" customHeight="false" outlineLevel="0" collapsed="false">
      <c r="A41" s="7" t="s">
        <v>73</v>
      </c>
      <c r="B41" s="7" t="s">
        <v>9</v>
      </c>
      <c r="C41" s="10" t="n">
        <v>45924</v>
      </c>
      <c r="D41" s="10"/>
      <c r="E41" s="11" t="str">
        <f aca="false">IF(D41="","Active","Exited")</f>
        <v>Active</v>
      </c>
      <c r="F41" s="11" t="str">
        <f aca="false">TEXT(C41,"yyyy-mm")</f>
        <v>2025-09</v>
      </c>
    </row>
    <row r="42" customFormat="false" ht="15" hidden="false" customHeight="false" outlineLevel="0" collapsed="false">
      <c r="A42" s="7" t="s">
        <v>74</v>
      </c>
      <c r="B42" s="7" t="s">
        <v>13</v>
      </c>
      <c r="C42" s="10" t="n">
        <v>45257</v>
      </c>
      <c r="D42" s="10"/>
      <c r="E42" s="11" t="str">
        <f aca="false">IF(D42="","Active","Exited")</f>
        <v>Active</v>
      </c>
      <c r="F42" s="11" t="str">
        <f aca="false">TEXT(C42,"yyyy-mm")</f>
        <v>2023-11</v>
      </c>
    </row>
    <row r="43" customFormat="false" ht="15" hidden="false" customHeight="false" outlineLevel="0" collapsed="false">
      <c r="A43" s="7" t="s">
        <v>75</v>
      </c>
      <c r="B43" s="7" t="s">
        <v>13</v>
      </c>
      <c r="C43" s="10" t="n">
        <v>45754</v>
      </c>
      <c r="D43" s="10"/>
      <c r="E43" s="11" t="str">
        <f aca="false">IF(D43="","Active","Exited")</f>
        <v>Active</v>
      </c>
      <c r="F43" s="11" t="str">
        <f aca="false">TEXT(C43,"yyyy-mm")</f>
        <v>2025-04</v>
      </c>
    </row>
    <row r="44" customFormat="false" ht="15" hidden="false" customHeight="false" outlineLevel="0" collapsed="false">
      <c r="A44" s="7" t="s">
        <v>76</v>
      </c>
      <c r="B44" s="7" t="s">
        <v>9</v>
      </c>
      <c r="C44" s="10" t="n">
        <v>45579</v>
      </c>
      <c r="D44" s="10" t="n">
        <v>45826</v>
      </c>
      <c r="E44" s="11" t="str">
        <f aca="false">IF(D44="","Active","Exited")</f>
        <v>Exited</v>
      </c>
      <c r="F44" s="11" t="str">
        <f aca="false">TEXT(C44,"yyyy-mm")</f>
        <v>2024-10</v>
      </c>
    </row>
    <row r="45" customFormat="false" ht="15" hidden="false" customHeight="false" outlineLevel="0" collapsed="false">
      <c r="A45" s="7" t="s">
        <v>77</v>
      </c>
      <c r="B45" s="7" t="s">
        <v>9</v>
      </c>
      <c r="C45" s="10" t="n">
        <v>45866</v>
      </c>
      <c r="D45" s="10"/>
      <c r="E45" s="11" t="str">
        <f aca="false">IF(D45="","Active","Exited")</f>
        <v>Active</v>
      </c>
      <c r="F45" s="11" t="str">
        <f aca="false">TEXT(C45,"yyyy-mm")</f>
        <v>2025-07</v>
      </c>
    </row>
    <row r="46" customFormat="false" ht="15" hidden="false" customHeight="false" outlineLevel="0" collapsed="false">
      <c r="A46" s="7" t="s">
        <v>78</v>
      </c>
      <c r="B46" s="7" t="s">
        <v>9</v>
      </c>
      <c r="C46" s="10" t="n">
        <v>45605</v>
      </c>
      <c r="D46" s="10"/>
      <c r="E46" s="11" t="str">
        <f aca="false">IF(D46="","Active","Exited")</f>
        <v>Active</v>
      </c>
      <c r="F46" s="11" t="str">
        <f aca="false">TEXT(C46,"yyyy-mm")</f>
        <v>2024-11</v>
      </c>
    </row>
    <row r="47" customFormat="false" ht="15" hidden="false" customHeight="false" outlineLevel="0" collapsed="false">
      <c r="A47" s="7" t="s">
        <v>79</v>
      </c>
      <c r="B47" s="7" t="s">
        <v>9</v>
      </c>
      <c r="C47" s="10" t="n">
        <v>45058</v>
      </c>
      <c r="D47" s="10" t="n">
        <v>45521</v>
      </c>
      <c r="E47" s="11" t="str">
        <f aca="false">IF(D47="","Active","Exited")</f>
        <v>Exited</v>
      </c>
      <c r="F47" s="11" t="str">
        <f aca="false">TEXT(C47,"yyyy-mm")</f>
        <v>2023-05</v>
      </c>
    </row>
    <row r="48" customFormat="false" ht="15" hidden="false" customHeight="false" outlineLevel="0" collapsed="false">
      <c r="A48" s="7" t="s">
        <v>80</v>
      </c>
      <c r="B48" s="7" t="s">
        <v>9</v>
      </c>
      <c r="C48" s="10" t="n">
        <v>45141</v>
      </c>
      <c r="D48" s="10" t="n">
        <v>45340</v>
      </c>
      <c r="E48" s="11" t="str">
        <f aca="false">IF(D48="","Active","Exited")</f>
        <v>Exited</v>
      </c>
      <c r="F48" s="11" t="str">
        <f aca="false">TEXT(C48,"yyyy-mm")</f>
        <v>2023-08</v>
      </c>
    </row>
    <row r="49" customFormat="false" ht="15" hidden="false" customHeight="false" outlineLevel="0" collapsed="false">
      <c r="A49" s="7" t="s">
        <v>81</v>
      </c>
      <c r="B49" s="7" t="s">
        <v>9</v>
      </c>
      <c r="C49" s="10" t="n">
        <v>45298</v>
      </c>
      <c r="D49" s="10" t="n">
        <v>45424</v>
      </c>
      <c r="E49" s="11" t="str">
        <f aca="false">IF(D49="","Active","Exited")</f>
        <v>Exited</v>
      </c>
      <c r="F49" s="11" t="str">
        <f aca="false">TEXT(C49,"yyyy-mm")</f>
        <v>2024-01</v>
      </c>
    </row>
    <row r="50" customFormat="false" ht="15" hidden="false" customHeight="false" outlineLevel="0" collapsed="false">
      <c r="A50" s="7" t="s">
        <v>82</v>
      </c>
      <c r="B50" s="7" t="s">
        <v>12</v>
      </c>
      <c r="C50" s="10" t="n">
        <v>45456</v>
      </c>
      <c r="D50" s="10"/>
      <c r="E50" s="11" t="str">
        <f aca="false">IF(D50="","Active","Exited")</f>
        <v>Active</v>
      </c>
      <c r="F50" s="11" t="str">
        <f aca="false">TEXT(C50,"yyyy-mm")</f>
        <v>2024-06</v>
      </c>
    </row>
    <row r="51" customFormat="false" ht="15" hidden="false" customHeight="false" outlineLevel="0" collapsed="false">
      <c r="A51" s="7" t="s">
        <v>83</v>
      </c>
      <c r="B51" s="7" t="s">
        <v>10</v>
      </c>
      <c r="C51" s="10" t="n">
        <v>45981</v>
      </c>
      <c r="D51" s="10"/>
      <c r="E51" s="11" t="str">
        <f aca="false">IF(D51="","Active","Exited")</f>
        <v>Active</v>
      </c>
      <c r="F51" s="11" t="str">
        <f aca="false">TEXT(C51,"yyyy-mm")</f>
        <v>2025-11</v>
      </c>
    </row>
    <row r="52" customFormat="false" ht="15" hidden="false" customHeight="false" outlineLevel="0" collapsed="false">
      <c r="A52" s="7" t="s">
        <v>84</v>
      </c>
      <c r="B52" s="7" t="s">
        <v>11</v>
      </c>
      <c r="C52" s="10" t="n">
        <v>45110</v>
      </c>
      <c r="D52" s="10"/>
      <c r="E52" s="11" t="str">
        <f aca="false">IF(D52="","Active","Exited")</f>
        <v>Active</v>
      </c>
      <c r="F52" s="11" t="str">
        <f aca="false">TEXT(C52,"yyyy-mm")</f>
        <v>2023-07</v>
      </c>
    </row>
    <row r="53" customFormat="false" ht="15" hidden="false" customHeight="false" outlineLevel="0" collapsed="false">
      <c r="A53" s="7" t="s">
        <v>85</v>
      </c>
      <c r="B53" s="7" t="s">
        <v>12</v>
      </c>
      <c r="C53" s="10" t="n">
        <v>45302</v>
      </c>
      <c r="D53" s="10"/>
      <c r="E53" s="11" t="str">
        <f aca="false">IF(D53="","Active","Exited")</f>
        <v>Active</v>
      </c>
      <c r="F53" s="11" t="str">
        <f aca="false">TEXT(C53,"yyyy-mm")</f>
        <v>2024-01</v>
      </c>
    </row>
    <row r="54" customFormat="false" ht="15" hidden="false" customHeight="false" outlineLevel="0" collapsed="false">
      <c r="A54" s="7" t="s">
        <v>86</v>
      </c>
      <c r="B54" s="7" t="s">
        <v>9</v>
      </c>
      <c r="C54" s="10" t="n">
        <v>44961</v>
      </c>
      <c r="D54" s="10"/>
      <c r="E54" s="11" t="str">
        <f aca="false">IF(D54="","Active","Exited")</f>
        <v>Active</v>
      </c>
      <c r="F54" s="11" t="str">
        <f aca="false">TEXT(C54,"yyyy-mm")</f>
        <v>2023-02</v>
      </c>
    </row>
    <row r="55" customFormat="false" ht="15" hidden="false" customHeight="false" outlineLevel="0" collapsed="false">
      <c r="A55" s="7" t="s">
        <v>87</v>
      </c>
      <c r="B55" s="7" t="s">
        <v>12</v>
      </c>
      <c r="C55" s="10" t="n">
        <v>45098</v>
      </c>
      <c r="D55" s="10"/>
      <c r="E55" s="11" t="str">
        <f aca="false">IF(D55="","Active","Exited")</f>
        <v>Active</v>
      </c>
      <c r="F55" s="11" t="str">
        <f aca="false">TEXT(C55,"yyyy-mm")</f>
        <v>2023-06</v>
      </c>
    </row>
    <row r="56" customFormat="false" ht="15" hidden="false" customHeight="false" outlineLevel="0" collapsed="false">
      <c r="A56" s="7" t="s">
        <v>88</v>
      </c>
      <c r="B56" s="7" t="s">
        <v>9</v>
      </c>
      <c r="C56" s="10" t="n">
        <v>45468</v>
      </c>
      <c r="D56" s="10"/>
      <c r="E56" s="11" t="str">
        <f aca="false">IF(D56="","Active","Exited")</f>
        <v>Active</v>
      </c>
      <c r="F56" s="11" t="str">
        <f aca="false">TEXT(C56,"yyyy-mm")</f>
        <v>2024-06</v>
      </c>
    </row>
    <row r="57" customFormat="false" ht="15" hidden="false" customHeight="false" outlineLevel="0" collapsed="false">
      <c r="A57" s="7" t="s">
        <v>89</v>
      </c>
      <c r="B57" s="7" t="s">
        <v>10</v>
      </c>
      <c r="C57" s="10" t="n">
        <v>45621</v>
      </c>
      <c r="D57" s="10"/>
      <c r="E57" s="11" t="str">
        <f aca="false">IF(D57="","Active","Exited")</f>
        <v>Active</v>
      </c>
      <c r="F57" s="11" t="str">
        <f aca="false">TEXT(C57,"yyyy-mm")</f>
        <v>2024-11</v>
      </c>
    </row>
    <row r="58" customFormat="false" ht="15" hidden="false" customHeight="false" outlineLevel="0" collapsed="false">
      <c r="A58" s="7" t="s">
        <v>90</v>
      </c>
      <c r="B58" s="7" t="s">
        <v>10</v>
      </c>
      <c r="C58" s="10" t="n">
        <v>45475</v>
      </c>
      <c r="D58" s="10"/>
      <c r="E58" s="11" t="str">
        <f aca="false">IF(D58="","Active","Exited")</f>
        <v>Active</v>
      </c>
      <c r="F58" s="11" t="str">
        <f aca="false">TEXT(C58,"yyyy-mm")</f>
        <v>2024-07</v>
      </c>
    </row>
    <row r="59" customFormat="false" ht="15" hidden="false" customHeight="false" outlineLevel="0" collapsed="false">
      <c r="A59" s="7" t="s">
        <v>91</v>
      </c>
      <c r="B59" s="7" t="s">
        <v>9</v>
      </c>
      <c r="C59" s="10" t="n">
        <v>45415</v>
      </c>
      <c r="D59" s="10"/>
      <c r="E59" s="11" t="str">
        <f aca="false">IF(D59="","Active","Exited")</f>
        <v>Active</v>
      </c>
      <c r="F59" s="11" t="str">
        <f aca="false">TEXT(C59,"yyyy-mm")</f>
        <v>2024-05</v>
      </c>
    </row>
    <row r="60" customFormat="false" ht="15" hidden="false" customHeight="false" outlineLevel="0" collapsed="false">
      <c r="A60" s="7" t="s">
        <v>92</v>
      </c>
      <c r="B60" s="7" t="s">
        <v>13</v>
      </c>
      <c r="C60" s="10" t="n">
        <v>45463</v>
      </c>
      <c r="D60" s="10" t="n">
        <v>45626</v>
      </c>
      <c r="E60" s="11" t="str">
        <f aca="false">IF(D60="","Active","Exited")</f>
        <v>Exited</v>
      </c>
      <c r="F60" s="11" t="str">
        <f aca="false">TEXT(C60,"yyyy-mm")</f>
        <v>2024-06</v>
      </c>
    </row>
    <row r="61" customFormat="false" ht="15" hidden="false" customHeight="false" outlineLevel="0" collapsed="false">
      <c r="A61" s="7" t="s">
        <v>93</v>
      </c>
      <c r="B61" s="7" t="s">
        <v>13</v>
      </c>
      <c r="C61" s="10" t="n">
        <v>45551</v>
      </c>
      <c r="D61" s="10"/>
      <c r="E61" s="11" t="str">
        <f aca="false">IF(D61="","Active","Exited")</f>
        <v>Active</v>
      </c>
      <c r="F61" s="11" t="str">
        <f aca="false">TEXT(C61,"yyyy-mm")</f>
        <v>2024-09</v>
      </c>
    </row>
    <row r="62" customFormat="false" ht="15" hidden="false" customHeight="false" outlineLevel="0" collapsed="false">
      <c r="A62" s="7" t="s">
        <v>94</v>
      </c>
      <c r="B62" s="7" t="s">
        <v>9</v>
      </c>
      <c r="C62" s="10" t="n">
        <v>45839</v>
      </c>
      <c r="D62" s="10"/>
      <c r="E62" s="11" t="str">
        <f aca="false">IF(D62="","Active","Exited")</f>
        <v>Active</v>
      </c>
      <c r="F62" s="11" t="str">
        <f aca="false">TEXT(C62,"yyyy-mm")</f>
        <v>2025-07</v>
      </c>
    </row>
    <row r="63" customFormat="false" ht="15" hidden="false" customHeight="false" outlineLevel="0" collapsed="false">
      <c r="A63" s="7" t="s">
        <v>95</v>
      </c>
      <c r="B63" s="7" t="s">
        <v>9</v>
      </c>
      <c r="C63" s="10" t="n">
        <v>45637</v>
      </c>
      <c r="D63" s="10"/>
      <c r="E63" s="11" t="str">
        <f aca="false">IF(D63="","Active","Exited")</f>
        <v>Active</v>
      </c>
      <c r="F63" s="11" t="str">
        <f aca="false">TEXT(C63,"yyyy-mm")</f>
        <v>2024-12</v>
      </c>
    </row>
    <row r="64" customFormat="false" ht="15" hidden="false" customHeight="false" outlineLevel="0" collapsed="false">
      <c r="A64" s="7" t="s">
        <v>96</v>
      </c>
      <c r="B64" s="7" t="s">
        <v>13</v>
      </c>
      <c r="C64" s="10" t="n">
        <v>45002</v>
      </c>
      <c r="D64" s="10" t="n">
        <v>45437</v>
      </c>
      <c r="E64" s="11" t="str">
        <f aca="false">IF(D64="","Active","Exited")</f>
        <v>Exited</v>
      </c>
      <c r="F64" s="11" t="str">
        <f aca="false">TEXT(C64,"yyyy-mm")</f>
        <v>2023-03</v>
      </c>
    </row>
    <row r="65" customFormat="false" ht="15" hidden="false" customHeight="false" outlineLevel="0" collapsed="false">
      <c r="A65" s="7" t="s">
        <v>97</v>
      </c>
      <c r="B65" s="7" t="s">
        <v>10</v>
      </c>
      <c r="C65" s="10" t="n">
        <v>45315</v>
      </c>
      <c r="D65" s="10"/>
      <c r="E65" s="11" t="str">
        <f aca="false">IF(D65="","Active","Exited")</f>
        <v>Active</v>
      </c>
      <c r="F65" s="11" t="str">
        <f aca="false">TEXT(C65,"yyyy-mm")</f>
        <v>2024-01</v>
      </c>
    </row>
    <row r="66" customFormat="false" ht="15" hidden="false" customHeight="false" outlineLevel="0" collapsed="false">
      <c r="A66" s="7" t="s">
        <v>98</v>
      </c>
      <c r="B66" s="7" t="s">
        <v>9</v>
      </c>
      <c r="C66" s="10" t="n">
        <v>45842</v>
      </c>
      <c r="D66" s="10"/>
      <c r="E66" s="11" t="str">
        <f aca="false">IF(D66="","Active","Exited")</f>
        <v>Active</v>
      </c>
      <c r="F66" s="11" t="str">
        <f aca="false">TEXT(C66,"yyyy-mm")</f>
        <v>2025-07</v>
      </c>
    </row>
    <row r="67" customFormat="false" ht="15" hidden="false" customHeight="false" outlineLevel="0" collapsed="false">
      <c r="A67" s="7" t="s">
        <v>99</v>
      </c>
      <c r="B67" s="7" t="s">
        <v>11</v>
      </c>
      <c r="C67" s="10" t="n">
        <v>45940</v>
      </c>
      <c r="D67" s="10"/>
      <c r="E67" s="11" t="str">
        <f aca="false">IF(D67="","Active","Exited")</f>
        <v>Active</v>
      </c>
      <c r="F67" s="11" t="str">
        <f aca="false">TEXT(C67,"yyyy-mm")</f>
        <v>2025-10</v>
      </c>
    </row>
    <row r="68" customFormat="false" ht="15" hidden="false" customHeight="false" outlineLevel="0" collapsed="false">
      <c r="A68" s="7" t="s">
        <v>100</v>
      </c>
      <c r="B68" s="7" t="s">
        <v>13</v>
      </c>
      <c r="C68" s="10" t="n">
        <v>45964</v>
      </c>
      <c r="D68" s="10"/>
      <c r="E68" s="11" t="str">
        <f aca="false">IF(D68="","Active","Exited")</f>
        <v>Active</v>
      </c>
      <c r="F68" s="11" t="str">
        <f aca="false">TEXT(C68,"yyyy-mm")</f>
        <v>2025-11</v>
      </c>
    </row>
    <row r="69" customFormat="false" ht="15" hidden="false" customHeight="false" outlineLevel="0" collapsed="false">
      <c r="A69" s="7" t="s">
        <v>101</v>
      </c>
      <c r="B69" s="7" t="s">
        <v>9</v>
      </c>
      <c r="C69" s="10" t="n">
        <v>45397</v>
      </c>
      <c r="D69" s="10"/>
      <c r="E69" s="11" t="str">
        <f aca="false">IF(D69="","Active","Exited")</f>
        <v>Active</v>
      </c>
      <c r="F69" s="11" t="str">
        <f aca="false">TEXT(C69,"yyyy-mm")</f>
        <v>2024-04</v>
      </c>
    </row>
    <row r="70" customFormat="false" ht="15" hidden="false" customHeight="false" outlineLevel="0" collapsed="false">
      <c r="A70" s="7" t="s">
        <v>102</v>
      </c>
      <c r="B70" s="7" t="s">
        <v>13</v>
      </c>
      <c r="C70" s="10" t="n">
        <v>45213</v>
      </c>
      <c r="D70" s="10"/>
      <c r="E70" s="11" t="str">
        <f aca="false">IF(D70="","Active","Exited")</f>
        <v>Active</v>
      </c>
      <c r="F70" s="11" t="str">
        <f aca="false">TEXT(C70,"yyyy-mm")</f>
        <v>2023-10</v>
      </c>
    </row>
    <row r="71" customFormat="false" ht="15" hidden="false" customHeight="false" outlineLevel="0" collapsed="false">
      <c r="A71" s="7" t="s">
        <v>103</v>
      </c>
      <c r="B71" s="7" t="s">
        <v>10</v>
      </c>
      <c r="C71" s="10" t="n">
        <v>45038</v>
      </c>
      <c r="D71" s="10"/>
      <c r="E71" s="11" t="str">
        <f aca="false">IF(D71="","Active","Exited")</f>
        <v>Active</v>
      </c>
      <c r="F71" s="11" t="str">
        <f aca="false">TEXT(C71,"yyyy-mm")</f>
        <v>2023-04</v>
      </c>
    </row>
    <row r="72" customFormat="false" ht="15" hidden="false" customHeight="false" outlineLevel="0" collapsed="false">
      <c r="A72" s="7" t="s">
        <v>104</v>
      </c>
      <c r="B72" s="7" t="s">
        <v>9</v>
      </c>
      <c r="C72" s="10" t="n">
        <v>45450</v>
      </c>
      <c r="D72" s="10"/>
      <c r="E72" s="11" t="str">
        <f aca="false">IF(D72="","Active","Exited")</f>
        <v>Active</v>
      </c>
      <c r="F72" s="11" t="str">
        <f aca="false">TEXT(C72,"yyyy-mm")</f>
        <v>2024-06</v>
      </c>
    </row>
    <row r="73" customFormat="false" ht="15" hidden="false" customHeight="false" outlineLevel="0" collapsed="false">
      <c r="A73" s="7" t="s">
        <v>105</v>
      </c>
      <c r="B73" s="7" t="s">
        <v>9</v>
      </c>
      <c r="C73" s="10" t="n">
        <v>45707</v>
      </c>
      <c r="D73" s="10"/>
      <c r="E73" s="11" t="str">
        <f aca="false">IF(D73="","Active","Exited")</f>
        <v>Active</v>
      </c>
      <c r="F73" s="11" t="str">
        <f aca="false">TEXT(C73,"yyyy-mm")</f>
        <v>2025-02</v>
      </c>
    </row>
    <row r="74" customFormat="false" ht="15" hidden="false" customHeight="false" outlineLevel="0" collapsed="false">
      <c r="A74" s="7" t="s">
        <v>106</v>
      </c>
      <c r="B74" s="7" t="s">
        <v>11</v>
      </c>
      <c r="C74" s="10" t="n">
        <v>45504</v>
      </c>
      <c r="D74" s="10"/>
      <c r="E74" s="11" t="str">
        <f aca="false">IF(D74="","Active","Exited")</f>
        <v>Active</v>
      </c>
      <c r="F74" s="11" t="str">
        <f aca="false">TEXT(C74,"yyyy-mm")</f>
        <v>2024-07</v>
      </c>
    </row>
    <row r="75" customFormat="false" ht="15" hidden="false" customHeight="false" outlineLevel="0" collapsed="false">
      <c r="A75" s="7" t="s">
        <v>107</v>
      </c>
      <c r="B75" s="7" t="s">
        <v>11</v>
      </c>
      <c r="C75" s="10" t="n">
        <v>45019</v>
      </c>
      <c r="D75" s="10"/>
      <c r="E75" s="11" t="str">
        <f aca="false">IF(D75="","Active","Exited")</f>
        <v>Active</v>
      </c>
      <c r="F75" s="11" t="str">
        <f aca="false">TEXT(C75,"yyyy-mm")</f>
        <v>2023-04</v>
      </c>
    </row>
    <row r="76" customFormat="false" ht="15" hidden="false" customHeight="false" outlineLevel="0" collapsed="false">
      <c r="A76" s="7" t="s">
        <v>108</v>
      </c>
      <c r="B76" s="7" t="s">
        <v>9</v>
      </c>
      <c r="C76" s="10" t="n">
        <v>45840</v>
      </c>
      <c r="D76" s="10"/>
      <c r="E76" s="11" t="str">
        <f aca="false">IF(D76="","Active","Exited")</f>
        <v>Active</v>
      </c>
      <c r="F76" s="11" t="str">
        <f aca="false">TEXT(C76,"yyyy-mm")</f>
        <v>2025-07</v>
      </c>
    </row>
    <row r="77" customFormat="false" ht="15" hidden="false" customHeight="false" outlineLevel="0" collapsed="false">
      <c r="A77" s="7" t="s">
        <v>109</v>
      </c>
      <c r="B77" s="7" t="s">
        <v>13</v>
      </c>
      <c r="C77" s="10" t="n">
        <v>45589</v>
      </c>
      <c r="D77" s="10"/>
      <c r="E77" s="11" t="str">
        <f aca="false">IF(D77="","Active","Exited")</f>
        <v>Active</v>
      </c>
      <c r="F77" s="11" t="str">
        <f aca="false">TEXT(C77,"yyyy-mm")</f>
        <v>2024-10</v>
      </c>
    </row>
    <row r="78" customFormat="false" ht="15" hidden="false" customHeight="false" outlineLevel="0" collapsed="false">
      <c r="A78" s="7" t="s">
        <v>110</v>
      </c>
      <c r="B78" s="7" t="s">
        <v>13</v>
      </c>
      <c r="C78" s="10" t="n">
        <v>45560</v>
      </c>
      <c r="D78" s="10"/>
      <c r="E78" s="11" t="str">
        <f aca="false">IF(D78="","Active","Exited")</f>
        <v>Active</v>
      </c>
      <c r="F78" s="11" t="str">
        <f aca="false">TEXT(C78,"yyyy-mm")</f>
        <v>2024-09</v>
      </c>
    </row>
    <row r="79" customFormat="false" ht="15" hidden="false" customHeight="false" outlineLevel="0" collapsed="false">
      <c r="A79" s="7" t="s">
        <v>111</v>
      </c>
      <c r="B79" s="7" t="s">
        <v>9</v>
      </c>
      <c r="C79" s="10" t="n">
        <v>45613</v>
      </c>
      <c r="D79" s="10"/>
      <c r="E79" s="11" t="str">
        <f aca="false">IF(D79="","Active","Exited")</f>
        <v>Active</v>
      </c>
      <c r="F79" s="11" t="str">
        <f aca="false">TEXT(C79,"yyyy-mm")</f>
        <v>2024-11</v>
      </c>
    </row>
    <row r="80" customFormat="false" ht="15" hidden="false" customHeight="false" outlineLevel="0" collapsed="false">
      <c r="A80" s="7" t="s">
        <v>112</v>
      </c>
      <c r="B80" s="7" t="s">
        <v>10</v>
      </c>
      <c r="C80" s="10" t="n">
        <v>45956</v>
      </c>
      <c r="D80" s="10"/>
      <c r="E80" s="11" t="str">
        <f aca="false">IF(D80="","Active","Exited")</f>
        <v>Active</v>
      </c>
      <c r="F80" s="11" t="str">
        <f aca="false">TEXT(C80,"yyyy-mm")</f>
        <v>2025-10</v>
      </c>
    </row>
    <row r="81" customFormat="false" ht="15" hidden="false" customHeight="false" outlineLevel="0" collapsed="false">
      <c r="A81" s="7" t="s">
        <v>113</v>
      </c>
      <c r="B81" s="7" t="s">
        <v>9</v>
      </c>
      <c r="C81" s="10" t="n">
        <v>44937</v>
      </c>
      <c r="D81" s="10" t="n">
        <v>45415</v>
      </c>
      <c r="E81" s="11" t="str">
        <f aca="false">IF(D81="","Active","Exited")</f>
        <v>Exited</v>
      </c>
      <c r="F81" s="11" t="str">
        <f aca="false">TEXT(C81,"yyyy-mm")</f>
        <v>2023-01</v>
      </c>
    </row>
    <row r="82" customFormat="false" ht="15" hidden="false" customHeight="false" outlineLevel="0" collapsed="false">
      <c r="A82" s="7" t="s">
        <v>114</v>
      </c>
      <c r="B82" s="7" t="s">
        <v>9</v>
      </c>
      <c r="C82" s="10" t="n">
        <v>45745</v>
      </c>
      <c r="D82" s="10"/>
      <c r="E82" s="11" t="str">
        <f aca="false">IF(D82="","Active","Exited")</f>
        <v>Active</v>
      </c>
      <c r="F82" s="11" t="str">
        <f aca="false">TEXT(C82,"yyyy-mm")</f>
        <v>2025-03</v>
      </c>
    </row>
    <row r="83" customFormat="false" ht="15" hidden="false" customHeight="false" outlineLevel="0" collapsed="false">
      <c r="A83" s="7" t="s">
        <v>115</v>
      </c>
      <c r="B83" s="7" t="s">
        <v>10</v>
      </c>
      <c r="C83" s="10" t="n">
        <v>45540</v>
      </c>
      <c r="D83" s="10"/>
      <c r="E83" s="11" t="str">
        <f aca="false">IF(D83="","Active","Exited")</f>
        <v>Active</v>
      </c>
      <c r="F83" s="11" t="str">
        <f aca="false">TEXT(C83,"yyyy-mm")</f>
        <v>2024-09</v>
      </c>
    </row>
    <row r="84" customFormat="false" ht="15" hidden="false" customHeight="false" outlineLevel="0" collapsed="false">
      <c r="A84" s="7" t="s">
        <v>116</v>
      </c>
      <c r="B84" s="7" t="s">
        <v>9</v>
      </c>
      <c r="C84" s="10" t="n">
        <v>46010</v>
      </c>
      <c r="D84" s="10"/>
      <c r="E84" s="11" t="str">
        <f aca="false">IF(D84="","Active","Exited")</f>
        <v>Active</v>
      </c>
      <c r="F84" s="11" t="str">
        <f aca="false">TEXT(C84,"yyyy-mm")</f>
        <v>2025-12</v>
      </c>
    </row>
    <row r="85" customFormat="false" ht="15" hidden="false" customHeight="false" outlineLevel="0" collapsed="false">
      <c r="A85" s="7" t="s">
        <v>117</v>
      </c>
      <c r="B85" s="7" t="s">
        <v>9</v>
      </c>
      <c r="C85" s="10" t="n">
        <v>45724</v>
      </c>
      <c r="D85" s="10"/>
      <c r="E85" s="11" t="str">
        <f aca="false">IF(D85="","Active","Exited")</f>
        <v>Active</v>
      </c>
      <c r="F85" s="11" t="str">
        <f aca="false">TEXT(C85,"yyyy-mm")</f>
        <v>2025-03</v>
      </c>
    </row>
    <row r="86" customFormat="false" ht="15" hidden="false" customHeight="false" outlineLevel="0" collapsed="false">
      <c r="A86" s="7" t="s">
        <v>118</v>
      </c>
      <c r="B86" s="7" t="s">
        <v>11</v>
      </c>
      <c r="C86" s="10" t="n">
        <v>45939</v>
      </c>
      <c r="D86" s="10"/>
      <c r="E86" s="11" t="str">
        <f aca="false">IF(D86="","Active","Exited")</f>
        <v>Active</v>
      </c>
      <c r="F86" s="11" t="str">
        <f aca="false">TEXT(C86,"yyyy-mm")</f>
        <v>2025-10</v>
      </c>
    </row>
    <row r="87" customFormat="false" ht="15" hidden="false" customHeight="false" outlineLevel="0" collapsed="false">
      <c r="A87" s="7" t="s">
        <v>119</v>
      </c>
      <c r="B87" s="7" t="s">
        <v>11</v>
      </c>
      <c r="C87" s="10" t="n">
        <v>45223</v>
      </c>
      <c r="D87" s="10" t="n">
        <v>45710</v>
      </c>
      <c r="E87" s="11" t="str">
        <f aca="false">IF(D87="","Active","Exited")</f>
        <v>Exited</v>
      </c>
      <c r="F87" s="11" t="str">
        <f aca="false">TEXT(C87,"yyyy-mm")</f>
        <v>2023-10</v>
      </c>
    </row>
    <row r="88" customFormat="false" ht="15" hidden="false" customHeight="false" outlineLevel="0" collapsed="false">
      <c r="A88" s="7" t="s">
        <v>120</v>
      </c>
      <c r="B88" s="7" t="s">
        <v>11</v>
      </c>
      <c r="C88" s="10" t="n">
        <v>45977</v>
      </c>
      <c r="D88" s="10"/>
      <c r="E88" s="11" t="str">
        <f aca="false">IF(D88="","Active","Exited")</f>
        <v>Active</v>
      </c>
      <c r="F88" s="11" t="str">
        <f aca="false">TEXT(C88,"yyyy-mm")</f>
        <v>2025-11</v>
      </c>
    </row>
    <row r="89" customFormat="false" ht="15" hidden="false" customHeight="false" outlineLevel="0" collapsed="false">
      <c r="A89" s="7" t="s">
        <v>121</v>
      </c>
      <c r="B89" s="7" t="s">
        <v>12</v>
      </c>
      <c r="C89" s="10" t="n">
        <v>45962</v>
      </c>
      <c r="D89" s="10"/>
      <c r="E89" s="11" t="str">
        <f aca="false">IF(D89="","Active","Exited")</f>
        <v>Active</v>
      </c>
      <c r="F89" s="11" t="str">
        <f aca="false">TEXT(C89,"yyyy-mm")</f>
        <v>2025-11</v>
      </c>
    </row>
    <row r="90" customFormat="false" ht="15" hidden="false" customHeight="false" outlineLevel="0" collapsed="false">
      <c r="A90" s="7" t="s">
        <v>122</v>
      </c>
      <c r="B90" s="7" t="s">
        <v>10</v>
      </c>
      <c r="C90" s="10" t="n">
        <v>45959</v>
      </c>
      <c r="D90" s="10"/>
      <c r="E90" s="11" t="str">
        <f aca="false">IF(D90="","Active","Exited")</f>
        <v>Active</v>
      </c>
      <c r="F90" s="11" t="str">
        <f aca="false">TEXT(C90,"yyyy-mm")</f>
        <v>2025-10</v>
      </c>
    </row>
    <row r="91" customFormat="false" ht="15" hidden="false" customHeight="false" outlineLevel="0" collapsed="false">
      <c r="A91" s="7" t="s">
        <v>123</v>
      </c>
      <c r="B91" s="7" t="s">
        <v>12</v>
      </c>
      <c r="C91" s="10" t="n">
        <v>44959</v>
      </c>
      <c r="D91" s="10"/>
      <c r="E91" s="11" t="str">
        <f aca="false">IF(D91="","Active","Exited")</f>
        <v>Active</v>
      </c>
      <c r="F91" s="11" t="str">
        <f aca="false">TEXT(C91,"yyyy-mm")</f>
        <v>2023-02</v>
      </c>
    </row>
    <row r="92" customFormat="false" ht="15" hidden="false" customHeight="false" outlineLevel="0" collapsed="false">
      <c r="A92" s="7" t="s">
        <v>124</v>
      </c>
      <c r="B92" s="7" t="s">
        <v>10</v>
      </c>
      <c r="C92" s="10" t="n">
        <v>45397</v>
      </c>
      <c r="D92" s="10" t="n">
        <v>45478</v>
      </c>
      <c r="E92" s="11" t="str">
        <f aca="false">IF(D92="","Active","Exited")</f>
        <v>Exited</v>
      </c>
      <c r="F92" s="11" t="str">
        <f aca="false">TEXT(C92,"yyyy-mm")</f>
        <v>2024-04</v>
      </c>
    </row>
    <row r="93" customFormat="false" ht="15" hidden="false" customHeight="false" outlineLevel="0" collapsed="false">
      <c r="A93" s="7" t="s">
        <v>125</v>
      </c>
      <c r="B93" s="7" t="s">
        <v>9</v>
      </c>
      <c r="C93" s="10" t="n">
        <v>45665</v>
      </c>
      <c r="D93" s="10"/>
      <c r="E93" s="11" t="str">
        <f aca="false">IF(D93="","Active","Exited")</f>
        <v>Active</v>
      </c>
      <c r="F93" s="11" t="str">
        <f aca="false">TEXT(C93,"yyyy-mm")</f>
        <v>2025-01</v>
      </c>
    </row>
    <row r="94" customFormat="false" ht="15" hidden="false" customHeight="false" outlineLevel="0" collapsed="false">
      <c r="A94" s="7" t="s">
        <v>126</v>
      </c>
      <c r="B94" s="7" t="s">
        <v>10</v>
      </c>
      <c r="C94" s="10" t="n">
        <v>45851</v>
      </c>
      <c r="D94" s="10"/>
      <c r="E94" s="11" t="str">
        <f aca="false">IF(D94="","Active","Exited")</f>
        <v>Active</v>
      </c>
      <c r="F94" s="11" t="str">
        <f aca="false">TEXT(C94,"yyyy-mm")</f>
        <v>2025-07</v>
      </c>
    </row>
    <row r="95" customFormat="false" ht="15" hidden="false" customHeight="false" outlineLevel="0" collapsed="false">
      <c r="A95" s="7" t="s">
        <v>127</v>
      </c>
      <c r="B95" s="7" t="s">
        <v>10</v>
      </c>
      <c r="C95" s="10" t="n">
        <v>46015</v>
      </c>
      <c r="D95" s="10"/>
      <c r="E95" s="11" t="str">
        <f aca="false">IF(D95="","Active","Exited")</f>
        <v>Active</v>
      </c>
      <c r="F95" s="11" t="str">
        <f aca="false">TEXT(C95,"yyyy-mm")</f>
        <v>2025-12</v>
      </c>
    </row>
    <row r="96" customFormat="false" ht="15" hidden="false" customHeight="false" outlineLevel="0" collapsed="false">
      <c r="A96" s="7" t="s">
        <v>128</v>
      </c>
      <c r="B96" s="7" t="s">
        <v>10</v>
      </c>
      <c r="C96" s="10" t="n">
        <v>44933</v>
      </c>
      <c r="D96" s="10"/>
      <c r="E96" s="11" t="str">
        <f aca="false">IF(D96="","Active","Exited")</f>
        <v>Active</v>
      </c>
      <c r="F96" s="11" t="str">
        <f aca="false">TEXT(C96,"yyyy-mm")</f>
        <v>2023-01</v>
      </c>
    </row>
    <row r="97" customFormat="false" ht="15" hidden="false" customHeight="false" outlineLevel="0" collapsed="false">
      <c r="A97" s="7" t="s">
        <v>129</v>
      </c>
      <c r="B97" s="7" t="s">
        <v>9</v>
      </c>
      <c r="C97" s="10" t="n">
        <v>45957</v>
      </c>
      <c r="D97" s="10"/>
      <c r="E97" s="11" t="str">
        <f aca="false">IF(D97="","Active","Exited")</f>
        <v>Active</v>
      </c>
      <c r="F97" s="11" t="str">
        <f aca="false">TEXT(C97,"yyyy-mm")</f>
        <v>2025-10</v>
      </c>
    </row>
    <row r="98" customFormat="false" ht="15" hidden="false" customHeight="false" outlineLevel="0" collapsed="false">
      <c r="A98" s="7" t="s">
        <v>130</v>
      </c>
      <c r="B98" s="7" t="s">
        <v>9</v>
      </c>
      <c r="C98" s="10" t="n">
        <v>46004</v>
      </c>
      <c r="D98" s="10"/>
      <c r="E98" s="11" t="str">
        <f aca="false">IF(D98="","Active","Exited")</f>
        <v>Active</v>
      </c>
      <c r="F98" s="11" t="str">
        <f aca="false">TEXT(C98,"yyyy-mm")</f>
        <v>2025-12</v>
      </c>
    </row>
    <row r="99" customFormat="false" ht="15" hidden="false" customHeight="false" outlineLevel="0" collapsed="false">
      <c r="A99" s="7" t="s">
        <v>131</v>
      </c>
      <c r="B99" s="7" t="s">
        <v>10</v>
      </c>
      <c r="C99" s="10" t="n">
        <v>45079</v>
      </c>
      <c r="D99" s="10"/>
      <c r="E99" s="11" t="str">
        <f aca="false">IF(D99="","Active","Exited")</f>
        <v>Active</v>
      </c>
      <c r="F99" s="11" t="str">
        <f aca="false">TEXT(C99,"yyyy-mm")</f>
        <v>2023-06</v>
      </c>
    </row>
    <row r="100" customFormat="false" ht="15" hidden="false" customHeight="false" outlineLevel="0" collapsed="false">
      <c r="A100" s="7" t="s">
        <v>132</v>
      </c>
      <c r="B100" s="7" t="s">
        <v>9</v>
      </c>
      <c r="C100" s="10" t="n">
        <v>45347</v>
      </c>
      <c r="D100" s="10" t="n">
        <v>45739</v>
      </c>
      <c r="E100" s="11" t="str">
        <f aca="false">IF(D100="","Active","Exited")</f>
        <v>Exited</v>
      </c>
      <c r="F100" s="11" t="str">
        <f aca="false">TEXT(C100,"yyyy-mm")</f>
        <v>2024-02</v>
      </c>
    </row>
    <row r="101" customFormat="false" ht="15" hidden="false" customHeight="false" outlineLevel="0" collapsed="false">
      <c r="A101" s="7" t="s">
        <v>133</v>
      </c>
      <c r="B101" s="7" t="s">
        <v>13</v>
      </c>
      <c r="C101" s="10" t="n">
        <v>45938</v>
      </c>
      <c r="D101" s="10"/>
      <c r="E101" s="11" t="str">
        <f aca="false">IF(D101="","Active","Exited")</f>
        <v>Active</v>
      </c>
      <c r="F101" s="11" t="str">
        <f aca="false">TEXT(C101,"yyyy-mm")</f>
        <v>2025-10</v>
      </c>
    </row>
    <row r="102" customFormat="false" ht="15" hidden="false" customHeight="false" outlineLevel="0" collapsed="false">
      <c r="A102" s="7" t="s">
        <v>134</v>
      </c>
      <c r="B102" s="7" t="s">
        <v>9</v>
      </c>
      <c r="C102" s="10" t="n">
        <v>45515</v>
      </c>
      <c r="D102" s="10"/>
      <c r="E102" s="11" t="str">
        <f aca="false">IF(D102="","Active","Exited")</f>
        <v>Active</v>
      </c>
      <c r="F102" s="11" t="str">
        <f aca="false">TEXT(C102,"yyyy-mm")</f>
        <v>2024-08</v>
      </c>
    </row>
    <row r="103" customFormat="false" ht="15" hidden="false" customHeight="false" outlineLevel="0" collapsed="false">
      <c r="A103" s="7" t="s">
        <v>135</v>
      </c>
      <c r="B103" s="7" t="s">
        <v>10</v>
      </c>
      <c r="C103" s="10" t="n">
        <v>45333</v>
      </c>
      <c r="D103" s="10" t="n">
        <v>45468</v>
      </c>
      <c r="E103" s="11" t="str">
        <f aca="false">IF(D103="","Active","Exited")</f>
        <v>Exited</v>
      </c>
      <c r="F103" s="11" t="str">
        <f aca="false">TEXT(C103,"yyyy-mm")</f>
        <v>2024-02</v>
      </c>
    </row>
    <row r="104" customFormat="false" ht="15" hidden="false" customHeight="false" outlineLevel="0" collapsed="false">
      <c r="A104" s="7" t="s">
        <v>136</v>
      </c>
      <c r="B104" s="7" t="s">
        <v>10</v>
      </c>
      <c r="C104" s="10" t="n">
        <v>45550</v>
      </c>
      <c r="D104" s="10"/>
      <c r="E104" s="11" t="str">
        <f aca="false">IF(D104="","Active","Exited")</f>
        <v>Active</v>
      </c>
      <c r="F104" s="11" t="str">
        <f aca="false">TEXT(C104,"yyyy-mm")</f>
        <v>2024-09</v>
      </c>
    </row>
    <row r="105" customFormat="false" ht="15" hidden="false" customHeight="false" outlineLevel="0" collapsed="false">
      <c r="A105" s="7" t="s">
        <v>137</v>
      </c>
      <c r="B105" s="7" t="s">
        <v>9</v>
      </c>
      <c r="C105" s="10" t="n">
        <v>45914</v>
      </c>
      <c r="D105" s="10"/>
      <c r="E105" s="11" t="str">
        <f aca="false">IF(D105="","Active","Exited")</f>
        <v>Active</v>
      </c>
      <c r="F105" s="11" t="str">
        <f aca="false">TEXT(C105,"yyyy-mm")</f>
        <v>2025-09</v>
      </c>
    </row>
    <row r="106" customFormat="false" ht="15" hidden="false" customHeight="false" outlineLevel="0" collapsed="false">
      <c r="A106" s="7" t="s">
        <v>138</v>
      </c>
      <c r="B106" s="7" t="s">
        <v>13</v>
      </c>
      <c r="C106" s="10" t="n">
        <v>45130</v>
      </c>
      <c r="D106" s="10"/>
      <c r="E106" s="11" t="str">
        <f aca="false">IF(D106="","Active","Exited")</f>
        <v>Active</v>
      </c>
      <c r="F106" s="11" t="str">
        <f aca="false">TEXT(C106,"yyyy-mm")</f>
        <v>2023-07</v>
      </c>
    </row>
    <row r="107" customFormat="false" ht="15" hidden="false" customHeight="false" outlineLevel="0" collapsed="false">
      <c r="A107" s="7" t="s">
        <v>139</v>
      </c>
      <c r="B107" s="7" t="s">
        <v>11</v>
      </c>
      <c r="C107" s="10" t="n">
        <v>45522</v>
      </c>
      <c r="D107" s="10"/>
      <c r="E107" s="11" t="str">
        <f aca="false">IF(D107="","Active","Exited")</f>
        <v>Active</v>
      </c>
      <c r="F107" s="11" t="str">
        <f aca="false">TEXT(C107,"yyyy-mm")</f>
        <v>2024-08</v>
      </c>
    </row>
    <row r="108" customFormat="false" ht="15" hidden="false" customHeight="false" outlineLevel="0" collapsed="false">
      <c r="A108" s="7" t="s">
        <v>140</v>
      </c>
      <c r="B108" s="7" t="s">
        <v>9</v>
      </c>
      <c r="C108" s="10" t="n">
        <v>45881</v>
      </c>
      <c r="D108" s="10"/>
      <c r="E108" s="11" t="str">
        <f aca="false">IF(D108="","Active","Exited")</f>
        <v>Active</v>
      </c>
      <c r="F108" s="11" t="str">
        <f aca="false">TEXT(C108,"yyyy-mm")</f>
        <v>2025-08</v>
      </c>
    </row>
    <row r="109" customFormat="false" ht="15" hidden="false" customHeight="false" outlineLevel="0" collapsed="false">
      <c r="A109" s="7" t="s">
        <v>141</v>
      </c>
      <c r="B109" s="7" t="s">
        <v>9</v>
      </c>
      <c r="C109" s="10" t="n">
        <v>45335</v>
      </c>
      <c r="D109" s="10"/>
      <c r="E109" s="11" t="str">
        <f aca="false">IF(D109="","Active","Exited")</f>
        <v>Active</v>
      </c>
      <c r="F109" s="11" t="str">
        <f aca="false">TEXT(C109,"yyyy-mm")</f>
        <v>2024-02</v>
      </c>
    </row>
    <row r="110" customFormat="false" ht="15" hidden="false" customHeight="false" outlineLevel="0" collapsed="false">
      <c r="A110" s="7" t="s">
        <v>142</v>
      </c>
      <c r="B110" s="7" t="s">
        <v>9</v>
      </c>
      <c r="C110" s="10" t="n">
        <v>45895</v>
      </c>
      <c r="D110" s="10"/>
      <c r="E110" s="11" t="str">
        <f aca="false">IF(D110="","Active","Exited")</f>
        <v>Active</v>
      </c>
      <c r="F110" s="11" t="str">
        <f aca="false">TEXT(C110,"yyyy-mm")</f>
        <v>2025-08</v>
      </c>
    </row>
    <row r="111" customFormat="false" ht="15" hidden="false" customHeight="false" outlineLevel="0" collapsed="false">
      <c r="A111" s="7" t="s">
        <v>143</v>
      </c>
      <c r="B111" s="7" t="s">
        <v>9</v>
      </c>
      <c r="C111" s="10" t="n">
        <v>45964</v>
      </c>
      <c r="D111" s="10"/>
      <c r="E111" s="11" t="str">
        <f aca="false">IF(D111="","Active","Exited")</f>
        <v>Active</v>
      </c>
      <c r="F111" s="11" t="str">
        <f aca="false">TEXT(C111,"yyyy-mm")</f>
        <v>2025-11</v>
      </c>
    </row>
    <row r="112" customFormat="false" ht="15" hidden="false" customHeight="false" outlineLevel="0" collapsed="false">
      <c r="A112" s="7" t="s">
        <v>144</v>
      </c>
      <c r="B112" s="7" t="s">
        <v>10</v>
      </c>
      <c r="C112" s="10" t="n">
        <v>45477</v>
      </c>
      <c r="D112" s="10"/>
      <c r="E112" s="11" t="str">
        <f aca="false">IF(D112="","Active","Exited")</f>
        <v>Active</v>
      </c>
      <c r="F112" s="11" t="str">
        <f aca="false">TEXT(C112,"yyyy-mm")</f>
        <v>2024-07</v>
      </c>
    </row>
    <row r="113" customFormat="false" ht="15" hidden="false" customHeight="false" outlineLevel="0" collapsed="false">
      <c r="A113" s="7" t="s">
        <v>145</v>
      </c>
      <c r="B113" s="7" t="s">
        <v>13</v>
      </c>
      <c r="C113" s="10" t="n">
        <v>45358</v>
      </c>
      <c r="D113" s="10" t="n">
        <v>45464</v>
      </c>
      <c r="E113" s="11" t="str">
        <f aca="false">IF(D113="","Active","Exited")</f>
        <v>Exited</v>
      </c>
      <c r="F113" s="11" t="str">
        <f aca="false">TEXT(C113,"yyyy-mm")</f>
        <v>2024-03</v>
      </c>
    </row>
    <row r="114" customFormat="false" ht="15" hidden="false" customHeight="false" outlineLevel="0" collapsed="false">
      <c r="A114" s="7" t="s">
        <v>146</v>
      </c>
      <c r="B114" s="7" t="s">
        <v>9</v>
      </c>
      <c r="C114" s="10" t="n">
        <v>46000</v>
      </c>
      <c r="D114" s="10"/>
      <c r="E114" s="11" t="str">
        <f aca="false">IF(D114="","Active","Exited")</f>
        <v>Active</v>
      </c>
      <c r="F114" s="11" t="str">
        <f aca="false">TEXT(C114,"yyyy-mm")</f>
        <v>2025-12</v>
      </c>
    </row>
    <row r="115" customFormat="false" ht="15" hidden="false" customHeight="false" outlineLevel="0" collapsed="false">
      <c r="A115" s="7" t="s">
        <v>147</v>
      </c>
      <c r="B115" s="7" t="s">
        <v>9</v>
      </c>
      <c r="C115" s="10" t="n">
        <v>45968</v>
      </c>
      <c r="D115" s="10"/>
      <c r="E115" s="11" t="str">
        <f aca="false">IF(D115="","Active","Exited")</f>
        <v>Active</v>
      </c>
      <c r="F115" s="11" t="str">
        <f aca="false">TEXT(C115,"yyyy-mm")</f>
        <v>2025-11</v>
      </c>
    </row>
    <row r="116" customFormat="false" ht="15" hidden="false" customHeight="false" outlineLevel="0" collapsed="false">
      <c r="A116" s="7" t="s">
        <v>148</v>
      </c>
      <c r="B116" s="7" t="s">
        <v>11</v>
      </c>
      <c r="C116" s="10" t="n">
        <v>45400</v>
      </c>
      <c r="D116" s="10"/>
      <c r="E116" s="11" t="str">
        <f aca="false">IF(D116="","Active","Exited")</f>
        <v>Active</v>
      </c>
      <c r="F116" s="11" t="str">
        <f aca="false">TEXT(C116,"yyyy-mm")</f>
        <v>2024-04</v>
      </c>
    </row>
    <row r="117" customFormat="false" ht="15" hidden="false" customHeight="false" outlineLevel="0" collapsed="false">
      <c r="A117" s="7" t="s">
        <v>149</v>
      </c>
      <c r="B117" s="7" t="s">
        <v>13</v>
      </c>
      <c r="C117" s="10" t="n">
        <v>45734</v>
      </c>
      <c r="D117" s="10" t="n">
        <v>45795</v>
      </c>
      <c r="E117" s="11" t="str">
        <f aca="false">IF(D117="","Active","Exited")</f>
        <v>Exited</v>
      </c>
      <c r="F117" s="11" t="str">
        <f aca="false">TEXT(C117,"yyyy-mm")</f>
        <v>2025-03</v>
      </c>
    </row>
    <row r="118" customFormat="false" ht="15" hidden="false" customHeight="false" outlineLevel="0" collapsed="false">
      <c r="A118" s="7" t="s">
        <v>150</v>
      </c>
      <c r="B118" s="7" t="s">
        <v>13</v>
      </c>
      <c r="C118" s="10" t="n">
        <v>45850</v>
      </c>
      <c r="D118" s="10"/>
      <c r="E118" s="11" t="str">
        <f aca="false">IF(D118="","Active","Exited")</f>
        <v>Active</v>
      </c>
      <c r="F118" s="11" t="str">
        <f aca="false">TEXT(C118,"yyyy-mm")</f>
        <v>2025-07</v>
      </c>
    </row>
    <row r="119" customFormat="false" ht="15" hidden="false" customHeight="false" outlineLevel="0" collapsed="false">
      <c r="A119" s="7" t="s">
        <v>151</v>
      </c>
      <c r="B119" s="7" t="s">
        <v>11</v>
      </c>
      <c r="C119" s="10" t="n">
        <v>45779</v>
      </c>
      <c r="D119" s="10"/>
      <c r="E119" s="11" t="str">
        <f aca="false">IF(D119="","Active","Exited")</f>
        <v>Active</v>
      </c>
      <c r="F119" s="11" t="str">
        <f aca="false">TEXT(C119,"yyyy-mm")</f>
        <v>2025-05</v>
      </c>
    </row>
    <row r="120" customFormat="false" ht="15" hidden="false" customHeight="false" outlineLevel="0" collapsed="false">
      <c r="A120" s="7" t="s">
        <v>152</v>
      </c>
      <c r="B120" s="7" t="s">
        <v>10</v>
      </c>
      <c r="C120" s="10" t="n">
        <v>45605</v>
      </c>
      <c r="D120" s="10"/>
      <c r="E120" s="11" t="str">
        <f aca="false">IF(D120="","Active","Exited")</f>
        <v>Active</v>
      </c>
      <c r="F120" s="11" t="str">
        <f aca="false">TEXT(C120,"yyyy-mm")</f>
        <v>2024-11</v>
      </c>
    </row>
    <row r="121" customFormat="false" ht="15" hidden="false" customHeight="false" outlineLevel="0" collapsed="false">
      <c r="A121" s="7" t="s">
        <v>153</v>
      </c>
      <c r="B121" s="7" t="s">
        <v>10</v>
      </c>
      <c r="C121" s="10" t="n">
        <v>45742</v>
      </c>
      <c r="D121" s="10" t="n">
        <v>45902</v>
      </c>
      <c r="E121" s="11" t="str">
        <f aca="false">IF(D121="","Active","Exited")</f>
        <v>Exited</v>
      </c>
      <c r="F121" s="11" t="str">
        <f aca="false">TEXT(C121,"yyyy-mm")</f>
        <v>2025-03</v>
      </c>
    </row>
    <row r="122" customFormat="false" ht="15" hidden="false" customHeight="false" outlineLevel="0" collapsed="false">
      <c r="A122" s="7" t="s">
        <v>154</v>
      </c>
      <c r="B122" s="7" t="s">
        <v>11</v>
      </c>
      <c r="C122" s="10" t="n">
        <v>45520</v>
      </c>
      <c r="D122" s="10"/>
      <c r="E122" s="11" t="str">
        <f aca="false">IF(D122="","Active","Exited")</f>
        <v>Active</v>
      </c>
      <c r="F122" s="11" t="str">
        <f aca="false">TEXT(C122,"yyyy-mm")</f>
        <v>2024-08</v>
      </c>
    </row>
    <row r="123" customFormat="false" ht="15" hidden="false" customHeight="false" outlineLevel="0" collapsed="false">
      <c r="A123" s="7" t="s">
        <v>155</v>
      </c>
      <c r="B123" s="7" t="s">
        <v>9</v>
      </c>
      <c r="C123" s="10" t="n">
        <v>45726</v>
      </c>
      <c r="D123" s="10"/>
      <c r="E123" s="11" t="str">
        <f aca="false">IF(D123="","Active","Exited")</f>
        <v>Active</v>
      </c>
      <c r="F123" s="11" t="str">
        <f aca="false">TEXT(C123,"yyyy-mm")</f>
        <v>2025-03</v>
      </c>
    </row>
    <row r="124" customFormat="false" ht="15" hidden="false" customHeight="false" outlineLevel="0" collapsed="false">
      <c r="A124" s="7" t="s">
        <v>156</v>
      </c>
      <c r="B124" s="7" t="s">
        <v>10</v>
      </c>
      <c r="C124" s="10" t="n">
        <v>45665</v>
      </c>
      <c r="D124" s="10"/>
      <c r="E124" s="11" t="str">
        <f aca="false">IF(D124="","Active","Exited")</f>
        <v>Active</v>
      </c>
      <c r="F124" s="11" t="str">
        <f aca="false">TEXT(C124,"yyyy-mm")</f>
        <v>2025-01</v>
      </c>
    </row>
    <row r="125" customFormat="false" ht="15" hidden="false" customHeight="false" outlineLevel="0" collapsed="false">
      <c r="A125" s="7" t="s">
        <v>157</v>
      </c>
      <c r="B125" s="7" t="s">
        <v>12</v>
      </c>
      <c r="C125" s="10" t="n">
        <v>45025</v>
      </c>
      <c r="D125" s="10"/>
      <c r="E125" s="11" t="str">
        <f aca="false">IF(D125="","Active","Exited")</f>
        <v>Active</v>
      </c>
      <c r="F125" s="11" t="str">
        <f aca="false">TEXT(C125,"yyyy-mm")</f>
        <v>2023-04</v>
      </c>
    </row>
    <row r="126" customFormat="false" ht="15" hidden="false" customHeight="false" outlineLevel="0" collapsed="false">
      <c r="A126" s="7" t="s">
        <v>158</v>
      </c>
      <c r="B126" s="7" t="s">
        <v>9</v>
      </c>
      <c r="C126" s="10" t="n">
        <v>45511</v>
      </c>
      <c r="D126" s="10"/>
      <c r="E126" s="11" t="str">
        <f aca="false">IF(D126="","Active","Exited")</f>
        <v>Active</v>
      </c>
      <c r="F126" s="11" t="str">
        <f aca="false">TEXT(C126,"yyyy-mm")</f>
        <v>2024-08</v>
      </c>
    </row>
    <row r="127" customFormat="false" ht="15" hidden="false" customHeight="false" outlineLevel="0" collapsed="false">
      <c r="A127" s="7" t="s">
        <v>159</v>
      </c>
      <c r="B127" s="7" t="s">
        <v>9</v>
      </c>
      <c r="C127" s="10" t="n">
        <v>45471</v>
      </c>
      <c r="D127" s="10"/>
      <c r="E127" s="11" t="str">
        <f aca="false">IF(D127="","Active","Exited")</f>
        <v>Active</v>
      </c>
      <c r="F127" s="11" t="str">
        <f aca="false">TEXT(C127,"yyyy-mm")</f>
        <v>2024-06</v>
      </c>
    </row>
    <row r="128" customFormat="false" ht="15" hidden="false" customHeight="false" outlineLevel="0" collapsed="false">
      <c r="A128" s="7" t="s">
        <v>160</v>
      </c>
      <c r="B128" s="7" t="s">
        <v>10</v>
      </c>
      <c r="C128" s="10" t="n">
        <v>45691</v>
      </c>
      <c r="D128" s="10"/>
      <c r="E128" s="11" t="str">
        <f aca="false">IF(D128="","Active","Exited")</f>
        <v>Active</v>
      </c>
      <c r="F128" s="11" t="str">
        <f aca="false">TEXT(C128,"yyyy-mm")</f>
        <v>2025-02</v>
      </c>
    </row>
    <row r="129" customFormat="false" ht="15" hidden="false" customHeight="false" outlineLevel="0" collapsed="false">
      <c r="A129" s="7" t="s">
        <v>161</v>
      </c>
      <c r="B129" s="7" t="s">
        <v>10</v>
      </c>
      <c r="C129" s="10" t="n">
        <v>44986</v>
      </c>
      <c r="D129" s="10"/>
      <c r="E129" s="11" t="str">
        <f aca="false">IF(D129="","Active","Exited")</f>
        <v>Active</v>
      </c>
      <c r="F129" s="11" t="str">
        <f aca="false">TEXT(C129,"yyyy-mm")</f>
        <v>2023-03</v>
      </c>
    </row>
    <row r="130" customFormat="false" ht="15" hidden="false" customHeight="false" outlineLevel="0" collapsed="false">
      <c r="A130" s="7" t="s">
        <v>162</v>
      </c>
      <c r="B130" s="7" t="s">
        <v>10</v>
      </c>
      <c r="C130" s="10" t="n">
        <v>45343</v>
      </c>
      <c r="D130" s="10"/>
      <c r="E130" s="11" t="str">
        <f aca="false">IF(D130="","Active","Exited")</f>
        <v>Active</v>
      </c>
      <c r="F130" s="11" t="str">
        <f aca="false">TEXT(C130,"yyyy-mm")</f>
        <v>2024-02</v>
      </c>
    </row>
    <row r="131" customFormat="false" ht="15" hidden="false" customHeight="false" outlineLevel="0" collapsed="false">
      <c r="A131" s="7" t="s">
        <v>163</v>
      </c>
      <c r="B131" s="7" t="s">
        <v>9</v>
      </c>
      <c r="C131" s="10" t="n">
        <v>45768</v>
      </c>
      <c r="D131" s="10"/>
      <c r="E131" s="11" t="str">
        <f aca="false">IF(D131="","Active","Exited")</f>
        <v>Active</v>
      </c>
      <c r="F131" s="11" t="str">
        <f aca="false">TEXT(C131,"yyyy-mm")</f>
        <v>2025-04</v>
      </c>
    </row>
    <row r="132" customFormat="false" ht="15" hidden="false" customHeight="false" outlineLevel="0" collapsed="false">
      <c r="A132" s="7" t="s">
        <v>164</v>
      </c>
      <c r="B132" s="7" t="s">
        <v>12</v>
      </c>
      <c r="C132" s="10" t="n">
        <v>45513</v>
      </c>
      <c r="D132" s="10"/>
      <c r="E132" s="11" t="str">
        <f aca="false">IF(D132="","Active","Exited")</f>
        <v>Active</v>
      </c>
      <c r="F132" s="11" t="str">
        <f aca="false">TEXT(C132,"yyyy-mm")</f>
        <v>2024-08</v>
      </c>
    </row>
    <row r="133" customFormat="false" ht="15" hidden="false" customHeight="false" outlineLevel="0" collapsed="false">
      <c r="A133" s="7" t="s">
        <v>165</v>
      </c>
      <c r="B133" s="7" t="s">
        <v>13</v>
      </c>
      <c r="C133" s="10" t="n">
        <v>45187</v>
      </c>
      <c r="D133" s="10" t="n">
        <v>45459</v>
      </c>
      <c r="E133" s="11" t="str">
        <f aca="false">IF(D133="","Active","Exited")</f>
        <v>Exited</v>
      </c>
      <c r="F133" s="11" t="str">
        <f aca="false">TEXT(C133,"yyyy-mm")</f>
        <v>2023-09</v>
      </c>
    </row>
    <row r="134" customFormat="false" ht="15" hidden="false" customHeight="false" outlineLevel="0" collapsed="false">
      <c r="A134" s="7" t="s">
        <v>166</v>
      </c>
      <c r="B134" s="7" t="s">
        <v>10</v>
      </c>
      <c r="C134" s="10" t="n">
        <v>45536</v>
      </c>
      <c r="D134" s="10"/>
      <c r="E134" s="11" t="str">
        <f aca="false">IF(D134="","Active","Exited")</f>
        <v>Active</v>
      </c>
      <c r="F134" s="11" t="str">
        <f aca="false">TEXT(C134,"yyyy-mm")</f>
        <v>2024-09</v>
      </c>
    </row>
    <row r="135" customFormat="false" ht="15" hidden="false" customHeight="false" outlineLevel="0" collapsed="false">
      <c r="A135" s="7" t="s">
        <v>167</v>
      </c>
      <c r="B135" s="7" t="s">
        <v>12</v>
      </c>
      <c r="C135" s="10" t="n">
        <v>45459</v>
      </c>
      <c r="D135" s="10"/>
      <c r="E135" s="11" t="str">
        <f aca="false">IF(D135="","Active","Exited")</f>
        <v>Active</v>
      </c>
      <c r="F135" s="11" t="str">
        <f aca="false">TEXT(C135,"yyyy-mm")</f>
        <v>2024-06</v>
      </c>
    </row>
    <row r="136" customFormat="false" ht="15" hidden="false" customHeight="false" outlineLevel="0" collapsed="false">
      <c r="A136" s="7" t="s">
        <v>168</v>
      </c>
      <c r="B136" s="7" t="s">
        <v>9</v>
      </c>
      <c r="C136" s="10" t="n">
        <v>45916</v>
      </c>
      <c r="D136" s="10"/>
      <c r="E136" s="11" t="str">
        <f aca="false">IF(D136="","Active","Exited")</f>
        <v>Active</v>
      </c>
      <c r="F136" s="11" t="str">
        <f aca="false">TEXT(C136,"yyyy-mm")</f>
        <v>2025-09</v>
      </c>
    </row>
    <row r="137" customFormat="false" ht="15" hidden="false" customHeight="false" outlineLevel="0" collapsed="false">
      <c r="A137" s="7" t="s">
        <v>169</v>
      </c>
      <c r="B137" s="7" t="s">
        <v>10</v>
      </c>
      <c r="C137" s="10" t="n">
        <v>45269</v>
      </c>
      <c r="D137" s="10"/>
      <c r="E137" s="11" t="str">
        <f aca="false">IF(D137="","Active","Exited")</f>
        <v>Active</v>
      </c>
      <c r="F137" s="11" t="str">
        <f aca="false">TEXT(C137,"yyyy-mm")</f>
        <v>2023-12</v>
      </c>
    </row>
    <row r="138" customFormat="false" ht="15" hidden="false" customHeight="false" outlineLevel="0" collapsed="false">
      <c r="A138" s="7" t="s">
        <v>170</v>
      </c>
      <c r="B138" s="7" t="s">
        <v>9</v>
      </c>
      <c r="C138" s="10" t="n">
        <v>45952</v>
      </c>
      <c r="D138" s="10"/>
      <c r="E138" s="11" t="str">
        <f aca="false">IF(D138="","Active","Exited")</f>
        <v>Active</v>
      </c>
      <c r="F138" s="11" t="str">
        <f aca="false">TEXT(C138,"yyyy-mm")</f>
        <v>2025-10</v>
      </c>
    </row>
    <row r="139" customFormat="false" ht="15" hidden="false" customHeight="false" outlineLevel="0" collapsed="false">
      <c r="A139" s="7" t="s">
        <v>171</v>
      </c>
      <c r="B139" s="7" t="s">
        <v>10</v>
      </c>
      <c r="C139" s="10" t="n">
        <v>45377</v>
      </c>
      <c r="D139" s="10"/>
      <c r="E139" s="11" t="str">
        <f aca="false">IF(D139="","Active","Exited")</f>
        <v>Active</v>
      </c>
      <c r="F139" s="11" t="str">
        <f aca="false">TEXT(C139,"yyyy-mm")</f>
        <v>2024-03</v>
      </c>
    </row>
    <row r="140" customFormat="false" ht="15" hidden="false" customHeight="false" outlineLevel="0" collapsed="false">
      <c r="A140" s="7" t="s">
        <v>172</v>
      </c>
      <c r="B140" s="7" t="s">
        <v>10</v>
      </c>
      <c r="C140" s="10" t="n">
        <v>45848</v>
      </c>
      <c r="D140" s="10"/>
      <c r="E140" s="11" t="str">
        <f aca="false">IF(D140="","Active","Exited")</f>
        <v>Active</v>
      </c>
      <c r="F140" s="11" t="str">
        <f aca="false">TEXT(C140,"yyyy-mm")</f>
        <v>2025-07</v>
      </c>
    </row>
    <row r="141" customFormat="false" ht="15" hidden="false" customHeight="false" outlineLevel="0" collapsed="false">
      <c r="A141" s="7" t="s">
        <v>173</v>
      </c>
      <c r="B141" s="7" t="s">
        <v>10</v>
      </c>
      <c r="C141" s="10" t="n">
        <v>45426</v>
      </c>
      <c r="D141" s="10" t="n">
        <v>45661</v>
      </c>
      <c r="E141" s="11" t="str">
        <f aca="false">IF(D141="","Active","Exited")</f>
        <v>Exited</v>
      </c>
      <c r="F141" s="11" t="str">
        <f aca="false">TEXT(C141,"yyyy-mm")</f>
        <v>2024-05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2026-10-09T11:07:46Z</dcterms:created>
  <dc:creator>openpyxl</dc:creator>
  <dc:description/>
  <dc:language>en-US</dc:language>
  <cp:lastModifiedBy/>
  <dcterms:modified xsi:type="dcterms:W3CDTF">2026-10-09T11:07:51Z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